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Summary" sheetId="2" state="visible" r:id="rId4"/>
    <sheet name="Test Cases" sheetId="3" state="visible" r:id="rId5"/>
    <sheet name="Entitlement Matrix" sheetId="4" state="visible" r:id="rId6"/>
    <sheet name="Original Mapping" sheetId="5" state="visible" r:id="rId7"/>
  </sheets>
  <definedNames>
    <definedName function="false" hidden="true" localSheetId="3" name="_xlnm._FilterDatabase" vbProcedure="false">'Entitlement Matrix'!$A$1:$R$21</definedName>
    <definedName function="false" hidden="true" localSheetId="2" name="_xlnm._FilterDatabase" vbProcedure="false">'Test Cases'!$A$1:$P$90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<sst xmlns="http://schemas.openxmlformats.org/spreadsheetml/2006/main" count="1120" uniqueCount="662">
  <si>
    <t xml:space="preserve">Test Plan: Redblock Activation QA</t>
  </si>
  <si>
    <t xml:space="preserve">Sheet</t>
  </si>
  <si>
    <t xml:space="preserve">Purpose</t>
  </si>
  <si>
    <t xml:space="preserve">Test Cases</t>
  </si>
  <si>
    <t xml:space="preserve">One row per scenario. Fill the yellow columns with results for each IGA tool.</t>
  </si>
  <si>
    <t xml:space="preserve">Entitlement Matrix</t>
  </si>
  <si>
    <t xml:space="preserve">Every exposure × cardinality × value mode combination, with Create/Assign/Modify/Remove per IGA tool.</t>
  </si>
  <si>
    <t xml:space="preserve">Summary</t>
  </si>
  <si>
    <t xml:space="preserve">Pass/Fail/Blocked counts per IGA tool. Calculated automatically from the other sheets.</t>
  </si>
  <si>
    <t xml:space="preserve">Original Mapping</t>
  </si>
  <si>
    <t xml:space="preserve">Each row of the original test list and the new test IDs that cover it.</t>
  </si>
  <si>
    <t xml:space="preserve">Column / value</t>
  </si>
  <si>
    <t xml:space="preserve">Meaning</t>
  </si>
  <si>
    <t xml:space="preserve">Okta / Entra / SailPoint</t>
  </si>
  <si>
    <t xml:space="preserve">Result for that IGA tool: Not Run, Pass, Fail, Blocked, N/A (dropdown). Blank counts as Not Run.</t>
  </si>
  <si>
    <t xml:space="preserve">IGA Verified</t>
  </si>
  <si>
    <t xml:space="preserve">Yes = result confirmed directly in the upstream IGA tool, not only in the Redblock UI.</t>
  </si>
  <si>
    <t xml:space="preserve">API Log OK / Pipeline Log OK</t>
  </si>
  <si>
    <t xml:space="preserve">Yes = the request/response and each pipeline step were logged correctly for this test.</t>
  </si>
  <si>
    <t xml:space="preserve">Priority</t>
  </si>
  <si>
    <t xml:space="preserve">P1 = must pass before release; P2 = important; P3 = nice to have.</t>
  </si>
  <si>
    <t xml:space="preserve">Source</t>
  </si>
  <si>
    <t xml:space="preserve">Original test row this came from, or 'New' for cases added in the restructure.</t>
  </si>
  <si>
    <t xml:space="preserve">Notes / Bug Link</t>
  </si>
  <si>
    <t xml:space="preserve">Request IDs, error text, or ticket links.</t>
  </si>
  <si>
    <t xml:space="preserve">Cells to edit</t>
  </si>
  <si>
    <t xml:space="preserve">Yellow-filled cells only. Other columns define the test and should change only if the scenario changes.</t>
  </si>
  <si>
    <t xml:space="preserve">Example row</t>
  </si>
  <si>
    <t xml:space="preserve">ACC-01 is filled in as an example of the expected format. Replace its values with your real results.</t>
  </si>
  <si>
    <t xml:space="preserve">Results Summary (auto-calculated)</t>
  </si>
  <si>
    <t xml:space="preserve">Status</t>
  </si>
  <si>
    <t xml:space="preserve">Okta</t>
  </si>
  <si>
    <t xml:space="preserve">Entra</t>
  </si>
  <si>
    <t xml:space="preserve">SailPoint</t>
  </si>
  <si>
    <t xml:space="preserve">All tools</t>
  </si>
  <si>
    <t xml:space="preserve">Pass</t>
  </si>
  <si>
    <t xml:space="preserve">Fail</t>
  </si>
  <si>
    <t xml:space="preserve">Blocked</t>
  </si>
  <si>
    <t xml:space="preserve">N/A</t>
  </si>
  <si>
    <t xml:space="preserve">Not Run (incl. blank)</t>
  </si>
  <si>
    <t xml:space="preserve">Total</t>
  </si>
  <si>
    <t xml:space="preserve">Pass rate (excl. N/A)</t>
  </si>
  <si>
    <t xml:space="preserve">Entitlement Matrix (each config × 4 operations)</t>
  </si>
  <si>
    <t xml:space="preserve">Not Run = total minus Pass, Fail, Blocked and N/A. Pass rate excludes N/A.</t>
  </si>
  <si>
    <t xml:space="preserve">Open P1 failures (Test Cases)</t>
  </si>
  <si>
    <t xml:space="preserve">P1 cases with Fail</t>
  </si>
  <si>
    <t xml:space="preserve">ID</t>
  </si>
  <si>
    <t xml:space="preserve">Section</t>
  </si>
  <si>
    <t xml:space="preserve">Area</t>
  </si>
  <si>
    <t xml:space="preserve">Scenario</t>
  </si>
  <si>
    <t xml:space="preserve">Preconditions</t>
  </si>
  <si>
    <t xml:space="preserve">Steps</t>
  </si>
  <si>
    <t xml:space="preserve">Expected Result</t>
  </si>
  <si>
    <t xml:space="preserve">API Log OK</t>
  </si>
  <si>
    <t xml:space="preserve">Pipeline Log OK</t>
  </si>
  <si>
    <t xml:space="preserve">CON-01</t>
  </si>
  <si>
    <t xml:space="preserve">Connectivity &amp; Tools</t>
  </si>
  <si>
    <t xml:space="preserve">Tools</t>
  </si>
  <si>
    <t xml:space="preserve">Connect downstream tool using every supported auth flow (API token, OAuth client credentials, basic auth)</t>
  </si>
  <si>
    <t xml:space="preserve">Valid credentials for each flow</t>
  </si>
  <si>
    <t xml:space="preserve">1. Create tool with each auth flow
2. Test connection
3. Use the tool in an activation HTTP node</t>
  </si>
  <si>
    <t xml:space="preserve">Each flow connects; tool is selectable and usable in pipelines</t>
  </si>
  <si>
    <t xml:space="preserve">P1</t>
  </si>
  <si>
    <t xml:space="preserve">CON-02</t>
  </si>
  <si>
    <t xml:space="preserve">OAuth token expiry and auto-refresh during pipeline runs</t>
  </si>
  <si>
    <t xml:space="preserve">OAuth tool with short-lived token (e.g. 30 min)</t>
  </si>
  <si>
    <t xml:space="preserve">1. Run an operation
2. Wait past token expiry
3. Run again</t>
  </si>
  <si>
    <t xml:space="preserve">New token fetched automatically; no 401 from downstream</t>
  </si>
  <si>
    <t xml:space="preserve">New</t>
  </si>
  <si>
    <t xml:space="preserve">CON-03</t>
  </si>
  <si>
    <t xml:space="preserve">Invalid or rotated credentials</t>
  </si>
  <si>
    <t xml:space="preserve">Tool connected</t>
  </si>
  <si>
    <t xml:space="preserve">1. Rotate/revoke secret in target app
2. Run an operation</t>
  </si>
  <si>
    <t xml:space="preserve">Clear auth error in API and pipeline logs; no partial writes</t>
  </si>
  <si>
    <t xml:space="preserve">P2</t>
  </si>
  <si>
    <t xml:space="preserve">CON-04</t>
  </si>
  <si>
    <t xml:space="preserve">JDBC</t>
  </si>
  <si>
    <t xml:space="preserve">JDBC connectivity and operations: MySQL</t>
  </si>
  <si>
    <t xml:space="preserve">MySQL instance</t>
  </si>
  <si>
    <t xml:space="preserve">Connect, run create/get/update/delete operations</t>
  </si>
  <si>
    <t xml:space="preserve">Consistent behavior with other databases</t>
  </si>
  <si>
    <t xml:space="preserve">Multiple Database Support (JDBC)</t>
  </si>
  <si>
    <t xml:space="preserve">CON-05</t>
  </si>
  <si>
    <t xml:space="preserve">JDBC connectivity and operations: Oracle</t>
  </si>
  <si>
    <t xml:space="preserve">Oracle instance</t>
  </si>
  <si>
    <t xml:space="preserve">CON-06</t>
  </si>
  <si>
    <t xml:space="preserve">JDBC connectivity and operations: PostgreSQL</t>
  </si>
  <si>
    <t xml:space="preserve">PostgreSQL instance</t>
  </si>
  <si>
    <t xml:space="preserve">CON-07</t>
  </si>
  <si>
    <t xml:space="preserve">JDBC connectivity and operations: MS SQL Server</t>
  </si>
  <si>
    <t xml:space="preserve">SQL Server instance</t>
  </si>
  <si>
    <t xml:space="preserve">CON-08</t>
  </si>
  <si>
    <t xml:space="preserve">REST templates</t>
  </si>
  <si>
    <t xml:space="preserve">REST pipeline using manual template</t>
  </si>
  <si>
    <t xml:space="preserve">REST tool connected</t>
  </si>
  <si>
    <t xml:space="preserve">Build operations from manual template and run them</t>
  </si>
  <si>
    <t xml:space="preserve">All operations execute and return expected output</t>
  </si>
  <si>
    <t xml:space="preserve">Pipeline Template Type (REST)</t>
  </si>
  <si>
    <t xml:space="preserve">CON-09</t>
  </si>
  <si>
    <t xml:space="preserve">REST pipeline using automated template</t>
  </si>
  <si>
    <t xml:space="preserve">Generate operations from automated template and run them</t>
  </si>
  <si>
    <t xml:space="preserve">All generated operations execute and return expected output</t>
  </si>
  <si>
    <t xml:space="preserve">CON-10</t>
  </si>
  <si>
    <t xml:space="preserve">SCIM connection</t>
  </si>
  <si>
    <t xml:space="preserve">IGA tool connects to Redblock SCIM endpoint</t>
  </si>
  <si>
    <t xml:space="preserve">Activation live, API key generated</t>
  </si>
  <si>
    <t xml:space="preserve">1. Configure tenant URL + API key in IGA tool
2. Test connection</t>
  </si>
  <si>
    <t xml:space="preserve">Test connection succeeds; request visible in API logs</t>
  </si>
  <si>
    <t xml:space="preserve">ACC-01</t>
  </si>
  <si>
    <t xml:space="preserve">Account Lifecycle</t>
  </si>
  <si>
    <t xml:space="preserve">Create</t>
  </si>
  <si>
    <t xml:space="preserve">Create new user with a role assigned</t>
  </si>
  <si>
    <t xml:space="preserve">User exists in IGA, not in target</t>
  </si>
  <si>
    <t xml:space="preserve">Assign user (with role) to the app in the IGA tool</t>
  </si>
  <si>
    <t xml:space="preserve">User created in target with correct attributes and role; SCIM response contains generated id</t>
  </si>
  <si>
    <t xml:space="preserve">Not Run</t>
  </si>
  <si>
    <t xml:space="preserve">Yes</t>
  </si>
  <si>
    <t xml:space="preserve">EXAMPLE: Entra on-demand, user created with role 'agent'. req-xxxx</t>
  </si>
  <si>
    <t xml:space="preserve">ACC-02</t>
  </si>
  <si>
    <t xml:space="preserve">Create user with no role / default access</t>
  </si>
  <si>
    <t xml:space="preserve">User without role assignment</t>
  </si>
  <si>
    <t xml:space="preserve">Assign user to the app without a role</t>
  </si>
  <si>
    <t xml:space="preserve">Defined behavior: created with default role OR clear error (document which)</t>
  </si>
  <si>
    <t xml:space="preserve">ACC-03</t>
  </si>
  <si>
    <t xml:space="preserve">Create user that already exists in target</t>
  </si>
  <si>
    <t xml:space="preserve">User already present in target</t>
  </si>
  <si>
    <t xml:space="preserve">Assign user to the app</t>
  </si>
  <si>
    <t xml:space="preserve">Existing user matched; no duplicate created</t>
  </si>
  <si>
    <t xml:space="preserve">ACC-04</t>
  </si>
  <si>
    <t xml:space="preserve">Update</t>
  </si>
  <si>
    <t xml:space="preserve">Update user attributes (name, email)</t>
  </si>
  <si>
    <t xml:space="preserve">Provisioned user</t>
  </si>
  <si>
    <t xml:space="preserve">Change attributes in IGA and sync</t>
  </si>
  <si>
    <t xml:space="preserve">Only changed attributes updated in target</t>
  </si>
  <si>
    <t xml:space="preserve">ACC-05</t>
  </si>
  <si>
    <t xml:space="preserve">Deactivate</t>
  </si>
  <si>
    <t xml:space="preserve">Deactivate user (active=false)</t>
  </si>
  <si>
    <t xml:space="preserve">Active provisioned user</t>
  </si>
  <si>
    <t xml:space="preserve">Disable/unassign per IGA flow</t>
  </si>
  <si>
    <t xml:space="preserve">User suspended/deactivated in target</t>
  </si>
  <si>
    <t xml:space="preserve">ACC-06</t>
  </si>
  <si>
    <t xml:space="preserve">Activate</t>
  </si>
  <si>
    <t xml:space="preserve">Reactivate a deactivated user</t>
  </si>
  <si>
    <t xml:space="preserve">Deactivated user</t>
  </si>
  <si>
    <t xml:space="preserve">Re-enable in IGA</t>
  </si>
  <si>
    <t xml:space="preserve">User active again in target, role intact</t>
  </si>
  <si>
    <t xml:space="preserve">ACC-07</t>
  </si>
  <si>
    <t xml:space="preserve">Remove</t>
  </si>
  <si>
    <t xml:space="preserve">Delete / deprovision user</t>
  </si>
  <si>
    <t xml:space="preserve">Remove assignment / delete in IGA</t>
  </si>
  <si>
    <t xml:space="preserve">User removed in target using correct target ID</t>
  </si>
  <si>
    <t xml:space="preserve">ACC-08</t>
  </si>
  <si>
    <t xml:space="preserve">Re-create a previously deleted user</t>
  </si>
  <si>
    <t xml:space="preserve">User deleted earlier</t>
  </si>
  <si>
    <t xml:space="preserve">Assign user again</t>
  </si>
  <si>
    <t xml:space="preserve">New account created cleanly; no stale ID conflicts</t>
  </si>
  <si>
    <t xml:space="preserve">ACC-09</t>
  </si>
  <si>
    <t xml:space="preserve">Get</t>
  </si>
  <si>
    <t xml:space="preserve">GET /Users?filter=userName eq existing user</t>
  </si>
  <si>
    <t xml:space="preserve">User exists in target</t>
  </si>
  <si>
    <t xml:space="preserve">Send filtered GET (or trigger via IGA)</t>
  </si>
  <si>
    <t xml:space="preserve">200 with totalResults 1 and correct user</t>
  </si>
  <si>
    <t xml:space="preserve">Agent APIs (Logs &gt; API)</t>
  </si>
  <si>
    <t xml:space="preserve">ACC-10</t>
  </si>
  <si>
    <t xml:space="preserve">GET /Users?filter=userName eq non-existent user</t>
  </si>
  <si>
    <t xml:space="preserve">User not in target</t>
  </si>
  <si>
    <t xml:space="preserve">Send filtered GET</t>
  </si>
  <si>
    <t xml:space="preserve">200 with totalResults 0 and empty Resources (not 404/500)</t>
  </si>
  <si>
    <t xml:space="preserve">ACC-11</t>
  </si>
  <si>
    <t xml:space="preserve">GET /Users/{id}</t>
  </si>
  <si>
    <t xml:space="preserve">User exists</t>
  </si>
  <si>
    <t xml:space="preserve">Send GET by id</t>
  </si>
  <si>
    <t xml:space="preserve">200 with correct user</t>
  </si>
  <si>
    <t xml:space="preserve">ACC-12</t>
  </si>
  <si>
    <t xml:space="preserve">Aggregation</t>
  </si>
  <si>
    <t xml:space="preserve">Account aggregation with pagination</t>
  </si>
  <si>
    <t xml:space="preserve">More users than one page</t>
  </si>
  <si>
    <t xml:space="preserve">Run account aggregation</t>
  </si>
  <si>
    <t xml:space="preserve">All users aggregated; count matches target; startIndex/count honored</t>
  </si>
  <si>
    <t xml:space="preserve">ROL-01</t>
  </si>
  <si>
    <t xml:space="preserve">Roles</t>
  </si>
  <si>
    <t xml:space="preserve">Assign</t>
  </si>
  <si>
    <t xml:space="preserve">Assign role at user creation</t>
  </si>
  <si>
    <t xml:space="preserve">Role exists in target</t>
  </si>
  <si>
    <t xml:space="preserve">Create user with role</t>
  </si>
  <si>
    <t xml:space="preserve">User has the role in target</t>
  </si>
  <si>
    <t xml:space="preserve">ROL-02</t>
  </si>
  <si>
    <t xml:space="preserve">Assign role to existing user</t>
  </si>
  <si>
    <t xml:space="preserve">Provisioned user without role</t>
  </si>
  <si>
    <t xml:space="preserve">Assign role in IGA</t>
  </si>
  <si>
    <t xml:space="preserve">Role added in target</t>
  </si>
  <si>
    <t xml:space="preserve">ROL-03</t>
  </si>
  <si>
    <t xml:space="preserve">Modify</t>
  </si>
  <si>
    <t xml:space="preserve">Change user's role (e.g. agent → admin)</t>
  </si>
  <si>
    <t xml:space="preserve">User with a role</t>
  </si>
  <si>
    <t xml:space="preserve">Change role in IGA</t>
  </si>
  <si>
    <t xml:space="preserve">Old role replaced by new role in target</t>
  </si>
  <si>
    <t xml:space="preserve">ROL-04</t>
  </si>
  <si>
    <t xml:space="preserve">Remove role from user</t>
  </si>
  <si>
    <t xml:space="preserve">Remove role in IGA</t>
  </si>
  <si>
    <t xml:space="preserve">Role removed in target; user otherwise unchanged</t>
  </si>
  <si>
    <t xml:space="preserve">ROL-05</t>
  </si>
  <si>
    <t xml:space="preserve">Negative</t>
  </si>
  <si>
    <t xml:space="preserve">Assign role that does not exist in target</t>
  </si>
  <si>
    <t xml:space="preserve">Role defined in IGA only</t>
  </si>
  <si>
    <t xml:space="preserve">Assign the role</t>
  </si>
  <si>
    <t xml:space="preserve">Clear error returned and logged; no partial change</t>
  </si>
  <si>
    <t xml:space="preserve">ROL-06</t>
  </si>
  <si>
    <t xml:space="preserve">Role aggregation completeness</t>
  </si>
  <si>
    <t xml:space="preserve">Target has built-in and custom roles</t>
  </si>
  <si>
    <t xml:space="preserve">Run entitlement aggregation</t>
  </si>
  <si>
    <t xml:space="preserve">All roles appear (built-in + custom); count matches target</t>
  </si>
  <si>
    <t xml:space="preserve">ROL-07</t>
  </si>
  <si>
    <t xml:space="preserve">Mapping</t>
  </si>
  <si>
    <t xml:space="preserve">Role value mapping between IGA and target</t>
  </si>
  <si>
    <t xml:space="preserve">Roles created in IGA</t>
  </si>
  <si>
    <t xml:space="preserve">Compare IGA role values with target role values</t>
  </si>
  <si>
    <t xml:space="preserve">Values match exactly; mapped SCIM attribute reaches pipeline input</t>
  </si>
  <si>
    <t xml:space="preserve">GRP-01</t>
  </si>
  <si>
    <t xml:space="preserve">Groups</t>
  </si>
  <si>
    <t xml:space="preserve">Create group (POST /Groups)</t>
  </si>
  <si>
    <t xml:space="preserve">Groups exposed via SCIM</t>
  </si>
  <si>
    <t xml:space="preserve">Push/create group from IGA</t>
  </si>
  <si>
    <t xml:space="preserve">Group created or mapped; SCIM response has id</t>
  </si>
  <si>
    <t xml:space="preserve">GRP-02</t>
  </si>
  <si>
    <t xml:space="preserve">Membership</t>
  </si>
  <si>
    <t xml:space="preserve">Add member to group</t>
  </si>
  <si>
    <t xml:space="preserve">Group and user exist</t>
  </si>
  <si>
    <t xml:space="preserve">Add user to group in IGA</t>
  </si>
  <si>
    <t xml:space="preserve">Membership/entitlement added in target</t>
  </si>
  <si>
    <t xml:space="preserve">GRP-03</t>
  </si>
  <si>
    <t xml:space="preserve">Remove member from group</t>
  </si>
  <si>
    <t xml:space="preserve">User is member</t>
  </si>
  <si>
    <t xml:space="preserve">Remove user from group in IGA</t>
  </si>
  <si>
    <t xml:space="preserve">Membership/entitlement removed in target</t>
  </si>
  <si>
    <t xml:space="preserve">GRP-04</t>
  </si>
  <si>
    <t xml:space="preserve">Rename / modify group</t>
  </si>
  <si>
    <t xml:space="preserve">Group exists</t>
  </si>
  <si>
    <t xml:space="preserve">Change group name in IGA</t>
  </si>
  <si>
    <t xml:space="preserve">Change reflected per design</t>
  </si>
  <si>
    <t xml:space="preserve">GRP-05</t>
  </si>
  <si>
    <t xml:space="preserve">Delete group</t>
  </si>
  <si>
    <t xml:space="preserve">Delete group in IGA</t>
  </si>
  <si>
    <t xml:space="preserve">Group removed; members' entitlements handled per design</t>
  </si>
  <si>
    <t xml:space="preserve">GRP-06</t>
  </si>
  <si>
    <t xml:space="preserve">Assignment</t>
  </si>
  <si>
    <t xml:space="preserve">Group-based assignment (members inherit role)</t>
  </si>
  <si>
    <t xml:space="preserve">Group assigned to app with a role</t>
  </si>
  <si>
    <t xml:space="preserve">Add user to the group</t>
  </si>
  <si>
    <t xml:space="preserve">User provisioned with the group's role</t>
  </si>
  <si>
    <t xml:space="preserve">GRP-07</t>
  </si>
  <si>
    <t xml:space="preserve">GET /Groups?filter=displayName eq non-existent</t>
  </si>
  <si>
    <t xml:space="preserve">Group not in target</t>
  </si>
  <si>
    <t xml:space="preserve">200 with totalResults 0</t>
  </si>
  <si>
    <t xml:space="preserve">ENT-01</t>
  </si>
  <si>
    <t xml:space="preserve">Entitlements</t>
  </si>
  <si>
    <t xml:space="preserve">Types</t>
  </si>
  <si>
    <t xml:space="preserve">Create entitlement type on Entitlements page</t>
  </si>
  <si>
    <t xml:space="preserve">Activation in draft</t>
  </si>
  <si>
    <t xml:space="preserve">Create new entitlement type and publish</t>
  </si>
  <si>
    <t xml:space="preserve">Type visible and usable in mappings</t>
  </si>
  <si>
    <t xml:space="preserve">Entitlement Types - Creation &amp; Removal</t>
  </si>
  <si>
    <t xml:space="preserve">ENT-02</t>
  </si>
  <si>
    <t xml:space="preserve">Remove entitlement type</t>
  </si>
  <si>
    <t xml:space="preserve">Type exists (with and without assigned users)</t>
  </si>
  <si>
    <t xml:space="preserve">Delete type and publish</t>
  </si>
  <si>
    <t xml:space="preserve">Removed cleanly; behavior for assigned users documented</t>
  </si>
  <si>
    <t xml:space="preserve">ENT-03</t>
  </si>
  <si>
    <t xml:space="preserve">Entitlement aggregation / cache refresh</t>
  </si>
  <si>
    <t xml:space="preserve">Entitlements exist in target</t>
  </si>
  <si>
    <t xml:space="preserve">Cached count matches target; old records replaced</t>
  </si>
  <si>
    <t xml:space="preserve">ENT-04</t>
  </si>
  <si>
    <t xml:space="preserve">Matrix</t>
  </si>
  <si>
    <t xml:space="preserve">Full exposure × cardinality × value mode matrix</t>
  </si>
  <si>
    <t xml:space="preserve">See 'Entitlement Matrix' sheet</t>
  </si>
  <si>
    <t xml:space="preserve">Execute each configuration in the matrix sheet</t>
  </si>
  <si>
    <t xml:space="preserve">All configurations pass (tracked in matrix sheet)</t>
  </si>
  <si>
    <t xml:space="preserve">Cardinality / Value Mode / Expose via SCIM rows</t>
  </si>
  <si>
    <t xml:space="preserve">ENT-05</t>
  </si>
  <si>
    <t xml:space="preserve">Cardinality</t>
  </si>
  <si>
    <t xml:space="preserve">Single-value: assigning a second value</t>
  </si>
  <si>
    <t xml:space="preserve">Single-value type</t>
  </si>
  <si>
    <t xml:space="preserve">Assign value A, then value B</t>
  </si>
  <si>
    <t xml:space="preserve">B replaces A (or clear error) per design</t>
  </si>
  <si>
    <t xml:space="preserve">Entitlements Types - Cardinality</t>
  </si>
  <si>
    <t xml:space="preserve">ENT-06</t>
  </si>
  <si>
    <t xml:space="preserve">Multi-value: add several, remove one</t>
  </si>
  <si>
    <t xml:space="preserve">Multi-value type</t>
  </si>
  <si>
    <t xml:space="preserve">Assign A and B, then remove A</t>
  </si>
  <si>
    <t xml:space="preserve">B remains; only A removed</t>
  </si>
  <si>
    <t xml:space="preserve">ENT-07</t>
  </si>
  <si>
    <t xml:space="preserve">Value mode</t>
  </si>
  <si>
    <t xml:space="preserve">Static: only defined values accepted</t>
  </si>
  <si>
    <t xml:space="preserve">Static type with fixed list</t>
  </si>
  <si>
    <t xml:space="preserve">Assign listed and unlisted value</t>
  </si>
  <si>
    <t xml:space="preserve">Listed value works; unlisted rejected with clear error</t>
  </si>
  <si>
    <t xml:space="preserve">Entitlements Types - Value Mode</t>
  </si>
  <si>
    <t xml:space="preserve">ENT-08</t>
  </si>
  <si>
    <t xml:space="preserve">Dynamic: new source value picked up</t>
  </si>
  <si>
    <t xml:space="preserve">Dynamic type</t>
  </si>
  <si>
    <t xml:space="preserve">Add value in target, re-aggregate, assign it</t>
  </si>
  <si>
    <t xml:space="preserve">New value appears and can be assigned</t>
  </si>
  <si>
    <t xml:space="preserve">PAT-01</t>
  </si>
  <si>
    <t xml:space="preserve">Pattern Rules</t>
  </si>
  <si>
    <t xml:space="preserve">Simple</t>
  </si>
  <si>
    <t xml:space="preserve">Exact match rule</t>
  </si>
  <si>
    <t xml:space="preserve">Rule configured</t>
  </si>
  <si>
    <t xml:space="preserve">Send role/group matching exactly</t>
  </si>
  <si>
    <t xml:space="preserve">Parsed into correct type + value</t>
  </si>
  <si>
    <t xml:space="preserve">Pattern Rules - Simple</t>
  </si>
  <si>
    <t xml:space="preserve">PAT-02</t>
  </si>
  <si>
    <t xml:space="preserve">Single wildcard rule</t>
  </si>
  <si>
    <t xml:space="preserve">Send matching and non-matching values</t>
  </si>
  <si>
    <t xml:space="preserve">Only matching values parsed</t>
  </si>
  <si>
    <t xml:space="preserve">PAT-03</t>
  </si>
  <si>
    <t xml:space="preserve">Advanced</t>
  </si>
  <si>
    <t xml:space="preserve">Prefix stripping (e.g. App_Role_agent → Role: agent)</t>
  </si>
  <si>
    <t xml:space="preserve">Advanced rule configured</t>
  </si>
  <si>
    <t xml:space="preserve">Send prefixed group/role name</t>
  </si>
  <si>
    <t xml:space="preserve">Prefix removed; correct value reaches pipeline</t>
  </si>
  <si>
    <t xml:space="preserve">Pattern Rules - Advanced</t>
  </si>
  <si>
    <t xml:space="preserve">PAT-04</t>
  </si>
  <si>
    <t xml:space="preserve">Multiple wildcards / nested conditions</t>
  </si>
  <si>
    <t xml:space="preserve">Send values covering each branch</t>
  </si>
  <si>
    <t xml:space="preserve">Each value parsed correctly</t>
  </si>
  <si>
    <t xml:space="preserve">PAT-05</t>
  </si>
  <si>
    <t xml:space="preserve">Conflicting rules precedence</t>
  </si>
  <si>
    <t xml:space="preserve">Two rules match same value</t>
  </si>
  <si>
    <t xml:space="preserve">Send the value</t>
  </si>
  <si>
    <t xml:space="preserve">Documented precedence applied consistently</t>
  </si>
  <si>
    <t xml:space="preserve">PAT-06</t>
  </si>
  <si>
    <t xml:space="preserve">No rule matches</t>
  </si>
  <si>
    <t xml:space="preserve">Rules configured</t>
  </si>
  <si>
    <t xml:space="preserve">Send unmatched value</t>
  </si>
  <si>
    <t xml:space="preserve">Clear error or ignored per design; logged</t>
  </si>
  <si>
    <t xml:space="preserve">CTL-01</t>
  </si>
  <si>
    <t xml:space="preserve">Activation &amp; Operation Controls</t>
  </si>
  <si>
    <t xml:space="preserve">Operation</t>
  </si>
  <si>
    <t xml:space="preserve">Disable an operation</t>
  </si>
  <si>
    <t xml:space="preserve">Operation enabled</t>
  </si>
  <si>
    <t xml:space="preserve">Disable it, trigger from IGA</t>
  </si>
  <si>
    <t xml:space="preserve">Request rejected with clear error; nothing sent downstream</t>
  </si>
  <si>
    <t xml:space="preserve">Enable/Disable Operation</t>
  </si>
  <si>
    <t xml:space="preserve">CTL-02</t>
  </si>
  <si>
    <t xml:space="preserve">Re-enable an operation</t>
  </si>
  <si>
    <t xml:space="preserve">Operation disabled</t>
  </si>
  <si>
    <t xml:space="preserve">Enable it, trigger again</t>
  </si>
  <si>
    <t xml:space="preserve">Operation runs normally</t>
  </si>
  <si>
    <t xml:space="preserve">CTL-03</t>
  </si>
  <si>
    <t xml:space="preserve">Activation</t>
  </si>
  <si>
    <t xml:space="preserve">Disable activation</t>
  </si>
  <si>
    <t xml:space="preserve">Activation live, schedules configured</t>
  </si>
  <si>
    <t xml:space="preserve">Disable activation; wait for schedule; trigger manually</t>
  </si>
  <si>
    <t xml:space="preserve">Scheduled and manual runs stop; dependent operations stop</t>
  </si>
  <si>
    <t xml:space="preserve">Enable/Disable Activation</t>
  </si>
  <si>
    <t xml:space="preserve">CTL-04</t>
  </si>
  <si>
    <t xml:space="preserve">Re-enable activation</t>
  </si>
  <si>
    <t xml:space="preserve">Activation disabled</t>
  </si>
  <si>
    <t xml:space="preserve">Enable it</t>
  </si>
  <si>
    <t xml:space="preserve">Schedules and triggers resume</t>
  </si>
  <si>
    <t xml:space="preserve">CTL-05</t>
  </si>
  <si>
    <t xml:space="preserve">Identity Operations page</t>
  </si>
  <si>
    <t xml:space="preserve">Verify all columns and their behavior</t>
  </si>
  <si>
    <t xml:space="preserve">Activation with operations</t>
  </si>
  <si>
    <t xml:space="preserve">Review each column, sort/filter/actions</t>
  </si>
  <si>
    <t xml:space="preserve">All columns accurate and functional</t>
  </si>
  <si>
    <t xml:space="preserve">Identity Operations</t>
  </si>
  <si>
    <t xml:space="preserve">CTL-06</t>
  </si>
  <si>
    <t xml:space="preserve">Get cURL</t>
  </si>
  <si>
    <t xml:space="preserve">Run every operation via 'Get cURL command'</t>
  </si>
  <si>
    <t xml:space="preserve">Operations published</t>
  </si>
  <si>
    <t xml:space="preserve">Copy cURL for each operation and execute</t>
  </si>
  <si>
    <t xml:space="preserve">Each call succeeds and matches pipeline behavior</t>
  </si>
  <si>
    <t xml:space="preserve">(unlabeled row) Get cURL command</t>
  </si>
  <si>
    <t xml:space="preserve">CTL-07</t>
  </si>
  <si>
    <t xml:space="preserve">Changes column</t>
  </si>
  <si>
    <t xml:space="preserve">Published vs unpublished changes column</t>
  </si>
  <si>
    <t xml:space="preserve">Draft with edits</t>
  </si>
  <si>
    <t xml:space="preserve">Edit, check column, publish, check again</t>
  </si>
  <si>
    <t xml:space="preserve">Column reflects pending and published changes correctly</t>
  </si>
  <si>
    <t xml:space="preserve">Pipeline Behavior</t>
  </si>
  <si>
    <t xml:space="preserve">PIP-01</t>
  </si>
  <si>
    <t xml:space="preserve">Pipeline</t>
  </si>
  <si>
    <t xml:space="preserve">End to end</t>
  </si>
  <si>
    <t xml:space="preserve">Each operation's pipeline runs end to end</t>
  </si>
  <si>
    <t xml:space="preserve">Operations configured</t>
  </si>
  <si>
    <t xml:space="preserve">Run each operation</t>
  </si>
  <si>
    <t xml:space="preserve">Every node succeeds; output matches expected shape</t>
  </si>
  <si>
    <t xml:space="preserve">PIP-02</t>
  </si>
  <si>
    <t xml:space="preserve">Inputs</t>
  </si>
  <si>
    <t xml:space="preserve">No unnecessary hardcoded pipeline inputs</t>
  </si>
  <si>
    <t xml:space="preserve">Pipelines configured</t>
  </si>
  <si>
    <t xml:space="preserve">Review every input and default toggle</t>
  </si>
  <si>
    <t xml:space="preserve">Only justified defaults; all others mapped</t>
  </si>
  <si>
    <t xml:space="preserve">PIP-03</t>
  </si>
  <si>
    <t xml:space="preserve">Templates</t>
  </si>
  <si>
    <t xml:space="preserve">Default pipeline templates</t>
  </si>
  <si>
    <t xml:space="preserve">New activation</t>
  </si>
  <si>
    <t xml:space="preserve">Generate and run default templates</t>
  </si>
  <si>
    <t xml:space="preserve">Templates work without modification</t>
  </si>
  <si>
    <t xml:space="preserve">PIP-04</t>
  </si>
  <si>
    <t xml:space="preserve">Required input has no SCIM mapping</t>
  </si>
  <si>
    <t xml:space="preserve">Required input unmapped</t>
  </si>
  <si>
    <t xml:space="preserve">Trigger the operation</t>
  </si>
  <si>
    <t xml:space="preserve">Clear 'missing required input' error; logged</t>
  </si>
  <si>
    <t xml:space="preserve">PIP-05</t>
  </si>
  <si>
    <t xml:space="preserve">Create operation returns generated identifier</t>
  </si>
  <si>
    <t xml:space="preserve">Create pipeline configured</t>
  </si>
  <si>
    <t xml:space="preserve">Create a user</t>
  </si>
  <si>
    <t xml:space="preserve">Response contains target user id used for later updates/deletes</t>
  </si>
  <si>
    <t xml:space="preserve">PIP-06</t>
  </si>
  <si>
    <t xml:space="preserve">Script nodes</t>
  </si>
  <si>
    <t xml:space="preserve">Script node output shape and downstream paths</t>
  </si>
  <si>
    <t xml:space="preserve">Pipeline with script node</t>
  </si>
  <si>
    <t xml:space="preserve">Run pipeline; inspect script and downstream nodes</t>
  </si>
  <si>
    <t xml:space="preserve">Downstream nodes read correct paths; full output (not preview-truncated) used</t>
  </si>
  <si>
    <t xml:space="preserve">PIP-07</t>
  </si>
  <si>
    <t xml:space="preserve">PATCH vs PUT</t>
  </si>
  <si>
    <t xml:space="preserve">Partial (PATCH) vs full (PUT) update</t>
  </si>
  <si>
    <t xml:space="preserve">Send PATCH changing one attribute; send PUT</t>
  </si>
  <si>
    <t xml:space="preserve">PATCH changes only that attribute; PUT behavior documented; correct status codes</t>
  </si>
  <si>
    <t xml:space="preserve">PATCH vs PUT Request Testing</t>
  </si>
  <si>
    <t xml:space="preserve">VER-01</t>
  </si>
  <si>
    <t xml:space="preserve">Versioning &amp; Summary</t>
  </si>
  <si>
    <t xml:space="preserve">Live → Draft</t>
  </si>
  <si>
    <t xml:space="preserve">Move live version to draft</t>
  </si>
  <si>
    <t xml:space="preserve">Live version with data</t>
  </si>
  <si>
    <t xml:space="preserve">Create draft from live</t>
  </si>
  <si>
    <t xml:space="preserve">All data carried over exactly; no loss</t>
  </si>
  <si>
    <t xml:space="preserve">Live to Draft Migration</t>
  </si>
  <si>
    <t xml:space="preserve">VER-02</t>
  </si>
  <si>
    <t xml:space="preserve">Mappings identical in draft</t>
  </si>
  <si>
    <t xml:space="preserve">Draft created</t>
  </si>
  <si>
    <t xml:space="preserve">Compare every mapping with live</t>
  </si>
  <si>
    <t xml:space="preserve">Mappings exactly the same</t>
  </si>
  <si>
    <t xml:space="preserve">VER-03</t>
  </si>
  <si>
    <t xml:space="preserve">Publish</t>
  </si>
  <si>
    <t xml:space="preserve">Publish draft</t>
  </si>
  <si>
    <t xml:space="preserve">Draft with changes</t>
  </si>
  <si>
    <t xml:space="preserve">New version live; changes take effect in next run</t>
  </si>
  <si>
    <t xml:space="preserve">VER-04</t>
  </si>
  <si>
    <t xml:space="preserve">Summary reflects entitlement change</t>
  </si>
  <si>
    <t xml:space="preserve">Draft</t>
  </si>
  <si>
    <t xml:space="preserve">Change an entitlement; open Summary</t>
  </si>
  <si>
    <t xml:space="preserve">Change shown correctly</t>
  </si>
  <si>
    <t xml:space="preserve">VER-05</t>
  </si>
  <si>
    <t xml:space="preserve">Summary reflects HTTP operation change</t>
  </si>
  <si>
    <t xml:space="preserve">Change an HTTP operation; open Summary</t>
  </si>
  <si>
    <t xml:space="preserve">LOG-01</t>
  </si>
  <si>
    <t xml:space="preserve">Logs &amp; History</t>
  </si>
  <si>
    <t xml:space="preserve">API logs</t>
  </si>
  <si>
    <t xml:space="preserve">Request, response and status logged</t>
  </si>
  <si>
    <t xml:space="preserve">Any operation triggered</t>
  </si>
  <si>
    <t xml:space="preserve">Open API log entry</t>
  </si>
  <si>
    <t xml:space="preserve">Payload, response and status accurate</t>
  </si>
  <si>
    <t xml:space="preserve">API Request/Response Check (API Logs)</t>
  </si>
  <si>
    <t xml:space="preserve">LOG-02</t>
  </si>
  <si>
    <t xml:space="preserve">Only valid GET requests from upstream; filter correctness</t>
  </si>
  <si>
    <t xml:space="preserve">IGA tool connected</t>
  </si>
  <si>
    <t xml:space="preserve">Review GET calls and their filters</t>
  </si>
  <si>
    <t xml:space="preserve">Only expected GETs; filters applied correctly</t>
  </si>
  <si>
    <t xml:space="preserve">LOG-03</t>
  </si>
  <si>
    <t xml:space="preserve">Pipeline logs</t>
  </si>
  <si>
    <t xml:space="preserve">Each step, timestamp and failure logged</t>
  </si>
  <si>
    <t xml:space="preserve">Pipeline run (success and failure)</t>
  </si>
  <si>
    <t xml:space="preserve">Open pipeline log</t>
  </si>
  <si>
    <t xml:space="preserve">All steps with timestamps; failures show node and reason</t>
  </si>
  <si>
    <t xml:space="preserve">Pipeline Logs</t>
  </si>
  <si>
    <t xml:space="preserve">LOG-04</t>
  </si>
  <si>
    <t xml:space="preserve">Linked navigation between logs</t>
  </si>
  <si>
    <t xml:space="preserve">API and pipeline logs exist</t>
  </si>
  <si>
    <t xml:space="preserve">Follow links API log → pipeline log</t>
  </si>
  <si>
    <t xml:space="preserve">Links open the correct related entry</t>
  </si>
  <si>
    <t xml:space="preserve">LOG-05</t>
  </si>
  <si>
    <t xml:space="preserve">Run history</t>
  </si>
  <si>
    <t xml:space="preserve">Historical run records</t>
  </si>
  <si>
    <t xml:space="preserve">Multiple runs</t>
  </si>
  <si>
    <t xml:space="preserve">Open run history</t>
  </si>
  <si>
    <t xml:space="preserve">All runs listed with correct details</t>
  </si>
  <si>
    <t xml:space="preserve">Operation Run History &amp; Filters</t>
  </si>
  <si>
    <t xml:space="preserve">LOG-06</t>
  </si>
  <si>
    <t xml:space="preserve">Filters (date, status, type)</t>
  </si>
  <si>
    <t xml:space="preserve">Runs with varied status/type</t>
  </si>
  <si>
    <t xml:space="preserve">Apply each filter and combinations</t>
  </si>
  <si>
    <t xml:space="preserve">Results match filters exactly</t>
  </si>
  <si>
    <t xml:space="preserve">NEG-01</t>
  </si>
  <si>
    <t xml:space="preserve">Negative &amp; Error Handling</t>
  </si>
  <si>
    <t xml:space="preserve">Endpoints</t>
  </si>
  <si>
    <t xml:space="preserve">Unsupported SCIM endpoint called</t>
  </si>
  <si>
    <t xml:space="preserve">Endpoint not enabled (e.g. POST /Groups)</t>
  </si>
  <si>
    <t xml:space="preserve">Trigger the call from IGA</t>
  </si>
  <si>
    <t xml:space="preserve">SCIM-formatted error from Redblock, not a gateway error</t>
  </si>
  <si>
    <t xml:space="preserve">NEG-02</t>
  </si>
  <si>
    <t xml:space="preserve">Target errors</t>
  </si>
  <si>
    <t xml:space="preserve">Target business error surfaced (e.g. license/seat limit)</t>
  </si>
  <si>
    <t xml:space="preserve">Target limit reached</t>
  </si>
  <si>
    <t xml:space="preserve">Trigger operation that exceeds it</t>
  </si>
  <si>
    <t xml:space="preserve">Target's real error message returned and logged</t>
  </si>
  <si>
    <t xml:space="preserve">NEG-03</t>
  </si>
  <si>
    <t xml:space="preserve">Target returns 404 on lookup</t>
  </si>
  <si>
    <t xml:space="preserve">Trigger filtered lookup</t>
  </si>
  <si>
    <t xml:space="preserve">Mapped to empty SCIM list, not an error</t>
  </si>
  <si>
    <t xml:space="preserve">NEG-04</t>
  </si>
  <si>
    <t xml:space="preserve">Target timeout / 5xx</t>
  </si>
  <si>
    <t xml:space="preserve">Target unavailable or slow</t>
  </si>
  <si>
    <t xml:space="preserve">Trigger an operation</t>
  </si>
  <si>
    <t xml:space="preserve">Error returned and logged; IGA retries per its policy</t>
  </si>
  <si>
    <t xml:space="preserve">NEG-05</t>
  </si>
  <si>
    <t xml:space="preserve">Payload</t>
  </si>
  <si>
    <t xml:space="preserve">Invalid SCIM payload</t>
  </si>
  <si>
    <t xml:space="preserve">None</t>
  </si>
  <si>
    <t xml:space="preserve">Send malformed body</t>
  </si>
  <si>
    <t xml:space="preserve">400 with SCIM error schema</t>
  </si>
  <si>
    <t xml:space="preserve">NEG-06</t>
  </si>
  <si>
    <t xml:space="preserve">Auth</t>
  </si>
  <si>
    <t xml:space="preserve">Invalid or missing API key</t>
  </si>
  <si>
    <t xml:space="preserve">Call SCIM endpoint with bad key</t>
  </si>
  <si>
    <t xml:space="preserve">401; nothing executed</t>
  </si>
  <si>
    <t xml:space="preserve">IGA-01</t>
  </si>
  <si>
    <t xml:space="preserve">IGA-Specific</t>
  </si>
  <si>
    <t xml:space="preserve">Role via SingleAppRoleAssignment mapping</t>
  </si>
  <si>
    <t xml:space="preserve">App roles created in App registration</t>
  </si>
  <si>
    <t xml:space="preserve">Assign user with app role</t>
  </si>
  <si>
    <t xml:space="preserve">Role reaches pipeline input and target</t>
  </si>
  <si>
    <t xml:space="preserve">IGA-02</t>
  </si>
  <si>
    <t xml:space="preserve">Provision on demand vs scheduled cycle</t>
  </si>
  <si>
    <t xml:space="preserve">Provisioning on</t>
  </si>
  <si>
    <t xml:space="preserve">Run on-demand; then wait for cycle</t>
  </si>
  <si>
    <t xml:space="preserve">Both succeed; on-demand limitations documented</t>
  </si>
  <si>
    <t xml:space="preserve">IGA-03</t>
  </si>
  <si>
    <t xml:space="preserve">Scope: sync only assigned users and groups</t>
  </si>
  <si>
    <t xml:space="preserve">Scope configured</t>
  </si>
  <si>
    <t xml:space="preserve">Assign/unassign users</t>
  </si>
  <si>
    <t xml:space="preserve">Only assigned users provisioned</t>
  </si>
  <si>
    <t xml:space="preserve">IGA-04</t>
  </si>
  <si>
    <t xml:space="preserve">Push groups</t>
  </si>
  <si>
    <t xml:space="preserve">Okta app with group push</t>
  </si>
  <si>
    <t xml:space="preserve">Push a group; change membership</t>
  </si>
  <si>
    <t xml:space="preserve">Group and membership synced</t>
  </si>
  <si>
    <t xml:space="preserve">IGA-05</t>
  </si>
  <si>
    <t xml:space="preserve">Profile updates pushed</t>
  </si>
  <si>
    <t xml:space="preserve">Change profile attribute in Okta</t>
  </si>
  <si>
    <t xml:space="preserve">Update reaches target</t>
  </si>
  <si>
    <t xml:space="preserve">IGA-06</t>
  </si>
  <si>
    <t xml:space="preserve">Account aggregation</t>
  </si>
  <si>
    <t xml:space="preserve">Source configured</t>
  </si>
  <si>
    <t xml:space="preserve">All accounts aggregated and correlated</t>
  </si>
  <si>
    <t xml:space="preserve">IGA-07</t>
  </si>
  <si>
    <t xml:space="preserve">Entitlement aggregation</t>
  </si>
  <si>
    <t xml:space="preserve">All entitlements aggregated</t>
  </si>
  <si>
    <t xml:space="preserve">IGA-08</t>
  </si>
  <si>
    <t xml:space="preserve">Access request provisioning</t>
  </si>
  <si>
    <t xml:space="preserve">Access profile/role configured</t>
  </si>
  <si>
    <t xml:space="preserve">Request access for a user</t>
  </si>
  <si>
    <t xml:space="preserve">Entitlement provisioned in target</t>
  </si>
  <si>
    <t xml:space="preserve">Config ID</t>
  </si>
  <si>
    <t xml:space="preserve">Exposure (Expose via SCIM as)</t>
  </si>
  <si>
    <t xml:space="preserve">Value Mode</t>
  </si>
  <si>
    <t xml:space="preserve">Okta - Create</t>
  </si>
  <si>
    <t xml:space="preserve">Okta - Assign</t>
  </si>
  <si>
    <t xml:space="preserve">Okta - Modify</t>
  </si>
  <si>
    <t xml:space="preserve">Okta - Remove</t>
  </si>
  <si>
    <t xml:space="preserve">Entra - Create</t>
  </si>
  <si>
    <t xml:space="preserve">Entra - Assign</t>
  </si>
  <si>
    <t xml:space="preserve">Entra - Modify</t>
  </si>
  <si>
    <t xml:space="preserve">Entra - Remove</t>
  </si>
  <si>
    <t xml:space="preserve">SailPoint - Create</t>
  </si>
  <si>
    <t xml:space="preserve">SailPoint - Assign</t>
  </si>
  <si>
    <t xml:space="preserve">SailPoint - Modify</t>
  </si>
  <si>
    <t xml:space="preserve">SailPoint - Remove</t>
  </si>
  <si>
    <t xml:space="preserve">EM-01</t>
  </si>
  <si>
    <t xml:space="preserve">Single-value</t>
  </si>
  <si>
    <t xml:space="preserve">Static</t>
  </si>
  <si>
    <t xml:space="preserve">EM-02</t>
  </si>
  <si>
    <t xml:space="preserve">Dynamic</t>
  </si>
  <si>
    <t xml:space="preserve">EM-03</t>
  </si>
  <si>
    <t xml:space="preserve">Multi-value</t>
  </si>
  <si>
    <t xml:space="preserve">EM-04</t>
  </si>
  <si>
    <t xml:space="preserve">EM-05</t>
  </si>
  <si>
    <t xml:space="preserve">EM-06</t>
  </si>
  <si>
    <t xml:space="preserve">EM-07</t>
  </si>
  <si>
    <t xml:space="preserve">EM-08</t>
  </si>
  <si>
    <t xml:space="preserve">EM-09</t>
  </si>
  <si>
    <t xml:space="preserve">Roles + Groups (multi type)</t>
  </si>
  <si>
    <t xml:space="preserve">EM-10</t>
  </si>
  <si>
    <t xml:space="preserve">EM-11</t>
  </si>
  <si>
    <t xml:space="preserve">EM-12</t>
  </si>
  <si>
    <t xml:space="preserve">EM-13</t>
  </si>
  <si>
    <t xml:space="preserve">Groups + Groups (multi type)</t>
  </si>
  <si>
    <t xml:space="preserve">EM-14</t>
  </si>
  <si>
    <t xml:space="preserve">EM-15</t>
  </si>
  <si>
    <t xml:space="preserve">EM-16</t>
  </si>
  <si>
    <t xml:space="preserve">EM-17</t>
  </si>
  <si>
    <t xml:space="preserve">Roles + Roles (multi type)</t>
  </si>
  <si>
    <t xml:space="preserve">EM-18</t>
  </si>
  <si>
    <t xml:space="preserve">EM-19</t>
  </si>
  <si>
    <t xml:space="preserve">EM-20</t>
  </si>
  <si>
    <t xml:space="preserve">Note: for multi-type configurations, cardinality and value mode apply to both entitlement types. If time is limited, run every configuration on one IGA tool and P1 rows on the others.</t>
  </si>
  <si>
    <t xml:space="preserve">Original row</t>
  </si>
  <si>
    <t xml:space="preserve">New test IDs</t>
  </si>
  <si>
    <t xml:space="preserve">What changed</t>
  </si>
  <si>
    <t xml:space="preserve">ROL-01 to ROL-07</t>
  </si>
  <si>
    <t xml:space="preserve">Split into assign/modify/remove plus aggregation, mapping and negative cases; IGA tools moved to columns</t>
  </si>
  <si>
    <t xml:space="preserve">ENT-01, ENT-02</t>
  </si>
  <si>
    <t xml:space="preserve">IGA tools moved to columns</t>
  </si>
  <si>
    <t xml:space="preserve">ENT-05, ENT-06, Entitlement Matrix</t>
  </si>
  <si>
    <t xml:space="preserve">Merged with Value Mode (they duplicated the same combination test)</t>
  </si>
  <si>
    <t xml:space="preserve">ENT-07, ENT-08, Entitlement Matrix</t>
  </si>
  <si>
    <t xml:space="preserve">Merged with Cardinality</t>
  </si>
  <si>
    <t xml:space="preserve">Entitlements - Expose via SCIM as Roles</t>
  </si>
  <si>
    <t xml:space="preserve">Entitlement Matrix EM-01 to EM-04</t>
  </si>
  <si>
    <t xml:space="preserve">One matrix instead of five near-identical rows</t>
  </si>
  <si>
    <t xml:space="preserve">Entitlements - Expose via SCIM as Groups</t>
  </si>
  <si>
    <t xml:space="preserve">Entitlement Matrix EM-05 to EM-08</t>
  </si>
  <si>
    <t xml:space="preserve">As above</t>
  </si>
  <si>
    <t xml:space="preserve">Entitlements - Multi Type (Roles + Groups)</t>
  </si>
  <si>
    <t xml:space="preserve">Entitlement Matrix EM-09 to EM-12</t>
  </si>
  <si>
    <t xml:space="preserve">Entitlements - Multi Type (Both Groups)</t>
  </si>
  <si>
    <t xml:space="preserve">Entitlement Matrix EM-13 to EM-16</t>
  </si>
  <si>
    <t xml:space="preserve">Entitlements - Multi Type (Both Roles)</t>
  </si>
  <si>
    <t xml:space="preserve">Entitlement Matrix EM-17 to EM-20</t>
  </si>
  <si>
    <t xml:space="preserve">GRP-01 to GRP-07</t>
  </si>
  <si>
    <t xml:space="preserve">Split by operation; group-based assignment and negative lookup added</t>
  </si>
  <si>
    <t xml:space="preserve">PAT-01, PAT-02</t>
  </si>
  <si>
    <t xml:space="preserve">Split into separate cases</t>
  </si>
  <si>
    <t xml:space="preserve">PAT-03 to PAT-06</t>
  </si>
  <si>
    <t xml:space="preserve">Prefix stripping and no-match cases added</t>
  </si>
  <si>
    <t xml:space="preserve">CTL-01, CTL-02</t>
  </si>
  <si>
    <t xml:space="preserve">Split into disable and re-enable</t>
  </si>
  <si>
    <t xml:space="preserve">CTL-03, CTL-04</t>
  </si>
  <si>
    <t xml:space="preserve">IGA Tool Validation</t>
  </si>
  <si>
    <t xml:space="preserve">'IGA Verified' column on every test</t>
  </si>
  <si>
    <t xml:space="preserve">Now a check on every case instead of a separate row</t>
  </si>
  <si>
    <t xml:space="preserve">LOG-01 + 'API Log OK' column</t>
  </si>
  <si>
    <t xml:space="preserve">Also a per-test check</t>
  </si>
  <si>
    <t xml:space="preserve">LOG-03, LOG-04 + 'Pipeline Log OK' column</t>
  </si>
  <si>
    <t xml:space="preserve">LOG-05, LOG-06</t>
  </si>
  <si>
    <t xml:space="preserve">Split into records and filters</t>
  </si>
  <si>
    <t xml:space="preserve">Unchanged in scope</t>
  </si>
  <si>
    <t xml:space="preserve">VER-01, VER-02</t>
  </si>
  <si>
    <t xml:space="preserve">Split into data and mappings; publish case VER-03 added</t>
  </si>
  <si>
    <t xml:space="preserve">PIP-01 to PIP-03, CTL-07</t>
  </si>
  <si>
    <t xml:space="preserve">Split into measurable cases</t>
  </si>
  <si>
    <t xml:space="preserve">(unlabeled) Get cURL command</t>
  </si>
  <si>
    <t xml:space="preserve">Given an area name</t>
  </si>
  <si>
    <t xml:space="preserve">VER-04, VER-05</t>
  </si>
  <si>
    <t xml:space="preserve">Split into entitlement and HTTP operation changes</t>
  </si>
  <si>
    <t xml:space="preserve">CON-01 to CON-03</t>
  </si>
  <si>
    <t xml:space="preserve">Token expiry and invalid credentials added</t>
  </si>
  <si>
    <t xml:space="preserve">CON-04 to CON-07</t>
  </si>
  <si>
    <t xml:space="preserve">One row per database</t>
  </si>
  <si>
    <t xml:space="preserve">CON-08, CON-09</t>
  </si>
  <si>
    <t xml:space="preserve">Split into manual and automated</t>
  </si>
  <si>
    <t xml:space="preserve">ACC-09, ACC-12, LOG-02</t>
  </si>
  <si>
    <t xml:space="preserve">Filter and aggregation behavior made explicit</t>
  </si>
  <si>
    <t xml:space="preserve">Okta column on every test + IGA-04, IGA-05</t>
  </si>
  <si>
    <t xml:space="preserve">Tool-specific behavior only</t>
  </si>
  <si>
    <t xml:space="preserve">Entra column on every test + IGA-01 to IGA-03</t>
  </si>
  <si>
    <t xml:space="preserve">SailPoint column on every test + IGA-06 to IGA-08</t>
  </si>
  <si>
    <t xml:space="preserve">(new)</t>
  </si>
  <si>
    <t xml:space="preserve">ACC-02, ACC-03, ACC-08, ACC-10, ACC-11, ROL-05 to ROL-07, GRP-06, GRP-07, ENT-03, PIP-04 to PIP-06, NEG-01 to NEG-06, CON-02, CON-03, CON-10</t>
  </si>
  <si>
    <t xml:space="preserve">Gaps found in real testing: missing input mappings, create ID, empty filter results, unsupported endpoints, target errors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</si>
</sst>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3" t="s">
        <v>2</v>
      </c>
    </row>
    <row r="4" customFormat="false" ht="15" hidden="false" customHeight="false" outlineLevel="0" collapsed="false">
      <c r="A4" s="4" t="s">
        <v>3</v>
      </c>
      <c r="B4" s="5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</row>
    <row r="6" customFormat="false" ht="15" hidden="false" customHeight="false" outlineLevel="0" collapsed="false">
      <c r="A6" s="4" t="s">
        <v>7</v>
      </c>
      <c r="B6" s="5" t="s">
        <v>8</v>
      </c>
    </row>
    <row r="7" customFormat="false" ht="15" hidden="false" customHeight="false" outlineLevel="0" collapsed="false">
      <c r="A7" s="4" t="s">
        <v>9</v>
      </c>
      <c r="B7" s="5" t="s">
        <v>10</v>
      </c>
    </row>
    <row r="8" customFormat="false" ht="15" hidden="false" customHeight="false" outlineLevel="0" collapsed="false">
      <c r="A8" s="2"/>
      <c r="B8" s="2"/>
    </row>
    <row r="9" customFormat="false" ht="15" hidden="false" customHeight="false" outlineLevel="0" collapsed="false">
      <c r="A9" s="3" t="s">
        <v>11</v>
      </c>
      <c r="B9" s="3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1" customFormat="false" ht="15" hidden="false" customHeight="false" outlineLevel="0" collapsed="false">
      <c r="A11" s="4" t="s">
        <v>15</v>
      </c>
      <c r="B11" s="5" t="s">
        <v>16</v>
      </c>
    </row>
    <row r="12" customFormat="false" ht="15" hidden="false" customHeight="false" outlineLevel="0" collapsed="false">
      <c r="A12" s="4" t="s">
        <v>17</v>
      </c>
      <c r="B12" s="5" t="s">
        <v>18</v>
      </c>
    </row>
    <row r="13" customFormat="false" ht="15" hidden="false" customHeight="false" outlineLevel="0" collapsed="false">
      <c r="A13" s="4" t="s">
        <v>19</v>
      </c>
      <c r="B13" s="5" t="s">
        <v>20</v>
      </c>
    </row>
    <row r="14" customFormat="false" ht="15" hidden="false" customHeight="false" outlineLevel="0" collapsed="false">
      <c r="A14" s="4" t="s">
        <v>21</v>
      </c>
      <c r="B14" s="5" t="s">
        <v>22</v>
      </c>
    </row>
    <row r="15" customFormat="false" ht="15" hidden="false" customHeight="false" outlineLevel="0" collapsed="false">
      <c r="A15" s="4" t="s">
        <v>23</v>
      </c>
      <c r="B15" s="5" t="s">
        <v>24</v>
      </c>
    </row>
    <row r="16" customFormat="false" ht="15" hidden="false" customHeight="false" outlineLevel="0" collapsed="false">
      <c r="A16" s="2"/>
      <c r="B16" s="2"/>
    </row>
    <row r="17" customFormat="false" ht="15" hidden="false" customHeight="false" outlineLevel="0" collapsed="false">
      <c r="A17" s="6" t="s">
        <v>25</v>
      </c>
      <c r="B17" s="5" t="s">
        <v>26</v>
      </c>
    </row>
    <row r="18" customFormat="false" ht="15" hidden="false" customHeight="false" outlineLevel="0" collapsed="false">
      <c r="A18" s="4" t="s">
        <v>27</v>
      </c>
      <c r="B18" s="5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29</v>
      </c>
    </row>
    <row r="3" customFormat="false" ht="15" hidden="false" customHeight="false" outlineLevel="0" collapsed="false">
      <c r="A3" s="7" t="s">
        <v>3</v>
      </c>
    </row>
    <row r="4" customFormat="false" ht="15" hidden="false" customHeight="false" outlineLevel="0" collapsed="false">
      <c r="A4" s="8" t="s">
        <v>30</v>
      </c>
      <c r="B4" s="8" t="s">
        <v>31</v>
      </c>
      <c r="C4" s="8" t="s">
        <v>32</v>
      </c>
      <c r="D4" s="8" t="s">
        <v>33</v>
      </c>
      <c r="E4" s="8" t="s">
        <v>34</v>
      </c>
    </row>
    <row r="5" customFormat="false" ht="15" hidden="false" customHeight="false" outlineLevel="0" collapsed="false">
      <c r="A5" s="9" t="s">
        <v>35</v>
      </c>
      <c r="B5" s="10" t="n">
        <f aca="false">COUNTIF('Test Cases'!I2:I90,"Pass")</f>
        <v>0</v>
      </c>
      <c r="C5" s="10" t="n">
        <f aca="false">COUNTIF('Test Cases'!J2:J90,"Pass")</f>
        <v>1</v>
      </c>
      <c r="D5" s="10" t="n">
        <f aca="false">COUNTIF('Test Cases'!K2:K90,"Pass")</f>
        <v>0</v>
      </c>
      <c r="E5" s="11" t="n">
        <f aca="false">SUM(B5:D5)</f>
        <v>1</v>
      </c>
    </row>
    <row r="6" customFormat="false" ht="15" hidden="false" customHeight="false" outlineLevel="0" collapsed="false">
      <c r="A6" s="9" t="s">
        <v>36</v>
      </c>
      <c r="B6" s="10" t="n">
        <f aca="false">COUNTIF('Test Cases'!I2:I90,"Fail")</f>
        <v>0</v>
      </c>
      <c r="C6" s="10" t="n">
        <f aca="false">COUNTIF('Test Cases'!J2:J90,"Fail")</f>
        <v>0</v>
      </c>
      <c r="D6" s="10" t="n">
        <f aca="false">COUNTIF('Test Cases'!K2:K90,"Fail")</f>
        <v>0</v>
      </c>
      <c r="E6" s="11" t="n">
        <f aca="false">SUM(B6:D6)</f>
        <v>0</v>
      </c>
    </row>
    <row r="7" customFormat="false" ht="15" hidden="false" customHeight="false" outlineLevel="0" collapsed="false">
      <c r="A7" s="9" t="s">
        <v>37</v>
      </c>
      <c r="B7" s="10" t="n">
        <f aca="false">COUNTIF('Test Cases'!I2:I90,"Blocked")</f>
        <v>0</v>
      </c>
      <c r="C7" s="10" t="n">
        <f aca="false">COUNTIF('Test Cases'!J2:J90,"Blocked")</f>
        <v>0</v>
      </c>
      <c r="D7" s="10" t="n">
        <f aca="false">COUNTIF('Test Cases'!K2:K90,"Blocked")</f>
        <v>0</v>
      </c>
      <c r="E7" s="11" t="n">
        <f aca="false">SUM(B7:D7)</f>
        <v>0</v>
      </c>
    </row>
    <row r="8" customFormat="false" ht="15" hidden="false" customHeight="false" outlineLevel="0" collapsed="false">
      <c r="A8" s="9" t="s">
        <v>38</v>
      </c>
      <c r="B8" s="10" t="n">
        <f aca="false">COUNTIF('Test Cases'!I2:I90,"N/A")</f>
        <v>6</v>
      </c>
      <c r="C8" s="10" t="n">
        <f aca="false">COUNTIF('Test Cases'!J2:J90,"N/A")</f>
        <v>5</v>
      </c>
      <c r="D8" s="10" t="n">
        <f aca="false">COUNTIF('Test Cases'!K2:K90,"N/A")</f>
        <v>5</v>
      </c>
      <c r="E8" s="11" t="n">
        <f aca="false">SUM(B8:D8)</f>
        <v>16</v>
      </c>
    </row>
    <row r="9" customFormat="false" ht="15" hidden="false" customHeight="false" outlineLevel="0" collapsed="false">
      <c r="A9" s="9" t="s">
        <v>39</v>
      </c>
      <c r="B9" s="10" t="n">
        <f aca="false">COUNTA('Test Cases'!A2:A90)-SUM(B5:B8)</f>
        <v>83</v>
      </c>
      <c r="C9" s="10" t="n">
        <f aca="false">COUNTA('Test Cases'!A2:A90)-SUM(C5:C8)</f>
        <v>83</v>
      </c>
      <c r="D9" s="10" t="n">
        <f aca="false">COUNTA('Test Cases'!A2:A90)-SUM(D5:D8)</f>
        <v>84</v>
      </c>
      <c r="E9" s="11" t="n">
        <f aca="false">SUM(B9:D9)</f>
        <v>250</v>
      </c>
    </row>
    <row r="10" customFormat="false" ht="15" hidden="false" customHeight="false" outlineLevel="0" collapsed="false">
      <c r="A10" s="12" t="s">
        <v>40</v>
      </c>
      <c r="B10" s="10" t="n">
        <f aca="false">COUNTA('Test Cases'!A2:A90)</f>
        <v>89</v>
      </c>
      <c r="C10" s="10" t="n">
        <f aca="false">COUNTA('Test Cases'!A2:A90)</f>
        <v>89</v>
      </c>
      <c r="D10" s="10" t="n">
        <f aca="false">COUNTA('Test Cases'!A2:A90)</f>
        <v>89</v>
      </c>
      <c r="E10" s="11" t="n">
        <f aca="false">SUM(B10:D10)</f>
        <v>267</v>
      </c>
    </row>
    <row r="11" customFormat="false" ht="15" hidden="false" customHeight="false" outlineLevel="0" collapsed="false">
      <c r="A11" s="12" t="s">
        <v>41</v>
      </c>
      <c r="B11" s="13" t="n">
        <f aca="false">IF((B10-B8)=0,0,B5/(B10-B8))</f>
        <v>0</v>
      </c>
      <c r="C11" s="13" t="n">
        <f aca="false">IF((C10-C8)=0,0,C5/(C10-C8))</f>
        <v>0.0119047619047619</v>
      </c>
      <c r="D11" s="13" t="n">
        <f aca="false">IF((D10-D8)=0,0,D5/(D10-D8))</f>
        <v>0</v>
      </c>
      <c r="E11" s="14" t="n">
        <f aca="false">IF((E10-E8)=0,0,E5/(E10-E8))</f>
        <v>0.00398406374501992</v>
      </c>
    </row>
    <row r="14" customFormat="false" ht="15" hidden="false" customHeight="false" outlineLevel="0" collapsed="false">
      <c r="A14" s="7" t="s">
        <v>42</v>
      </c>
    </row>
    <row r="15" customFormat="false" ht="15" hidden="false" customHeight="false" outlineLevel="0" collapsed="false">
      <c r="A15" s="8" t="s">
        <v>30</v>
      </c>
      <c r="B15" s="8" t="s">
        <v>31</v>
      </c>
      <c r="C15" s="8" t="s">
        <v>32</v>
      </c>
      <c r="D15" s="8" t="s">
        <v>33</v>
      </c>
      <c r="E15" s="8" t="s">
        <v>34</v>
      </c>
    </row>
    <row r="16" customFormat="false" ht="15" hidden="false" customHeight="false" outlineLevel="0" collapsed="false">
      <c r="A16" s="9" t="s">
        <v>35</v>
      </c>
      <c r="B16" s="10" t="n">
        <f aca="false">COUNTIF('Entitlement Matrix'!F2:I21,"Pass")</f>
        <v>0</v>
      </c>
      <c r="C16" s="10" t="n">
        <f aca="false">COUNTIF('Entitlement Matrix'!J2:M21,"Pass")</f>
        <v>0</v>
      </c>
      <c r="D16" s="10" t="n">
        <f aca="false">COUNTIF('Entitlement Matrix'!N2:Q21,"Pass")</f>
        <v>0</v>
      </c>
      <c r="E16" s="11" t="n">
        <f aca="false">SUM(B16:D16)</f>
        <v>0</v>
      </c>
    </row>
    <row r="17" customFormat="false" ht="15" hidden="false" customHeight="false" outlineLevel="0" collapsed="false">
      <c r="A17" s="9" t="s">
        <v>36</v>
      </c>
      <c r="B17" s="10" t="n">
        <f aca="false">COUNTIF('Entitlement Matrix'!F2:I21,"Fail")</f>
        <v>0</v>
      </c>
      <c r="C17" s="10" t="n">
        <f aca="false">COUNTIF('Entitlement Matrix'!J2:M21,"Fail")</f>
        <v>0</v>
      </c>
      <c r="D17" s="10" t="n">
        <f aca="false">COUNTIF('Entitlement Matrix'!N2:Q21,"Fail")</f>
        <v>0</v>
      </c>
      <c r="E17" s="11" t="n">
        <f aca="false">SUM(B17:D17)</f>
        <v>0</v>
      </c>
    </row>
    <row r="18" customFormat="false" ht="15" hidden="false" customHeight="false" outlineLevel="0" collapsed="false">
      <c r="A18" s="9" t="s">
        <v>37</v>
      </c>
      <c r="B18" s="10" t="n">
        <f aca="false">COUNTIF('Entitlement Matrix'!F2:I21,"Blocked")</f>
        <v>0</v>
      </c>
      <c r="C18" s="10" t="n">
        <f aca="false">COUNTIF('Entitlement Matrix'!J2:M21,"Blocked")</f>
        <v>0</v>
      </c>
      <c r="D18" s="10" t="n">
        <f aca="false">COUNTIF('Entitlement Matrix'!N2:Q21,"Blocked")</f>
        <v>0</v>
      </c>
      <c r="E18" s="11" t="n">
        <f aca="false">SUM(B18:D18)</f>
        <v>0</v>
      </c>
    </row>
    <row r="19" customFormat="false" ht="15" hidden="false" customHeight="false" outlineLevel="0" collapsed="false">
      <c r="A19" s="9" t="s">
        <v>38</v>
      </c>
      <c r="B19" s="10" t="n">
        <f aca="false">COUNTIF('Entitlement Matrix'!F2:I21,"N/A")</f>
        <v>0</v>
      </c>
      <c r="C19" s="10" t="n">
        <f aca="false">COUNTIF('Entitlement Matrix'!J2:M21,"N/A")</f>
        <v>0</v>
      </c>
      <c r="D19" s="10" t="n">
        <f aca="false">COUNTIF('Entitlement Matrix'!N2:Q21,"N/A")</f>
        <v>0</v>
      </c>
      <c r="E19" s="11" t="n">
        <f aca="false">SUM(B19:D19)</f>
        <v>0</v>
      </c>
    </row>
    <row r="20" customFormat="false" ht="15" hidden="false" customHeight="false" outlineLevel="0" collapsed="false">
      <c r="A20" s="9" t="s">
        <v>39</v>
      </c>
      <c r="B20" s="10" t="n">
        <f aca="false">COUNTA('Entitlement Matrix'!A2:A21)*4-SUM(B16:B19)</f>
        <v>80</v>
      </c>
      <c r="C20" s="10" t="n">
        <f aca="false">COUNTA('Entitlement Matrix'!A2:A21)*4-SUM(C16:C19)</f>
        <v>80</v>
      </c>
      <c r="D20" s="10" t="n">
        <f aca="false">COUNTA('Entitlement Matrix'!A2:A21)*4-SUM(D16:D19)</f>
        <v>80</v>
      </c>
      <c r="E20" s="11" t="n">
        <f aca="false">SUM(B20:D20)</f>
        <v>240</v>
      </c>
    </row>
    <row r="21" customFormat="false" ht="15" hidden="false" customHeight="false" outlineLevel="0" collapsed="false">
      <c r="A21" s="12" t="s">
        <v>40</v>
      </c>
      <c r="B21" s="10" t="n">
        <f aca="false">COUNTA('Entitlement Matrix'!A2:A21)*4</f>
        <v>80</v>
      </c>
      <c r="C21" s="10" t="n">
        <f aca="false">COUNTA('Entitlement Matrix'!A2:A21)*4</f>
        <v>80</v>
      </c>
      <c r="D21" s="10" t="n">
        <f aca="false">COUNTA('Entitlement Matrix'!A2:A21)*4</f>
        <v>80</v>
      </c>
      <c r="E21" s="11" t="n">
        <f aca="false">SUM(B21:D21)</f>
        <v>240</v>
      </c>
    </row>
    <row r="22" customFormat="false" ht="15" hidden="false" customHeight="false" outlineLevel="0" collapsed="false">
      <c r="A22" s="12" t="s">
        <v>41</v>
      </c>
      <c r="B22" s="13" t="n">
        <f aca="false">IF((B21-B19)=0,0,B16/(B21-B19))</f>
        <v>0</v>
      </c>
      <c r="C22" s="13" t="n">
        <f aca="false">IF((C21-C19)=0,0,C16/(C21-C19))</f>
        <v>0</v>
      </c>
      <c r="D22" s="13" t="n">
        <f aca="false">IF((D21-D19)=0,0,D16/(D21-D19))</f>
        <v>0</v>
      </c>
      <c r="E22" s="14" t="n">
        <f aca="false">IF((E21-E19)=0,0,E16/(E21-E19))</f>
        <v>0</v>
      </c>
    </row>
    <row r="25" customFormat="false" ht="15" hidden="false" customHeight="false" outlineLevel="0" collapsed="false">
      <c r="A25" s="15" t="s">
        <v>43</v>
      </c>
    </row>
    <row r="27" customFormat="false" ht="15" hidden="false" customHeight="false" outlineLevel="0" collapsed="false">
      <c r="A27" s="7" t="s">
        <v>44</v>
      </c>
    </row>
    <row r="28" customFormat="false" ht="15" hidden="false" customHeight="false" outlineLevel="0" collapsed="false">
      <c r="B28" s="7" t="s">
        <v>31</v>
      </c>
      <c r="C28" s="7" t="s">
        <v>32</v>
      </c>
      <c r="D28" s="7" t="s">
        <v>33</v>
      </c>
    </row>
    <row r="29" customFormat="false" ht="15" hidden="false" customHeight="false" outlineLevel="0" collapsed="false">
      <c r="A29" s="2" t="s">
        <v>45</v>
      </c>
      <c r="B29" s="16" t="n">
        <f aca="false">COUNTIFS('Test Cases'!H2:H90,"P1",'Test Cases'!I2:I90,"Fail")</f>
        <v>0</v>
      </c>
      <c r="C29" s="16" t="n">
        <f aca="false">COUNTIFS('Test Cases'!H2:H90,"P1",'Test Cases'!J2:J90,"Fail")</f>
        <v>0</v>
      </c>
      <c r="D29" s="16" t="n">
        <f aca="false">COUNTIFS('Test Cases'!H2:H90,"P1",'Test Cases'!K2:K90,"Fail")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7" min="6" style="0" width="42"/>
    <col collapsed="false" customWidth="true" hidden="false" outlineLevel="0" max="8" min="8" style="0" width="8"/>
    <col collapsed="false" customWidth="true" hidden="false" outlineLevel="0" max="11" min="9" style="0" width="11"/>
    <col collapsed="false" customWidth="true" hidden="false" outlineLevel="0" max="14" min="12" style="0" width="10"/>
    <col collapsed="false" customWidth="true" hidden="false" outlineLevel="0" max="15" min="15" style="0" width="30"/>
    <col collapsed="false" customWidth="true" hidden="false" outlineLevel="0" max="16" min="16" style="0" width="26"/>
  </cols>
  <sheetData>
    <row r="1" customFormat="false" ht="31.5" hidden="false" customHeight="true" outlineLevel="0" collapsed="false">
      <c r="A1" s="17" t="s">
        <v>46</v>
      </c>
      <c r="B1" s="17" t="s">
        <v>47</v>
      </c>
      <c r="C1" s="17" t="s">
        <v>48</v>
      </c>
      <c r="D1" s="17" t="s">
        <v>49</v>
      </c>
      <c r="E1" s="17" t="s">
        <v>50</v>
      </c>
      <c r="F1" s="17" t="s">
        <v>51</v>
      </c>
      <c r="G1" s="17" t="s">
        <v>52</v>
      </c>
      <c r="H1" s="17" t="s">
        <v>19</v>
      </c>
      <c r="I1" s="17" t="s">
        <v>31</v>
      </c>
      <c r="J1" s="17" t="s">
        <v>32</v>
      </c>
      <c r="K1" s="17" t="s">
        <v>33</v>
      </c>
      <c r="L1" s="17" t="s">
        <v>15</v>
      </c>
      <c r="M1" s="17" t="s">
        <v>53</v>
      </c>
      <c r="N1" s="17" t="s">
        <v>54</v>
      </c>
      <c r="O1" s="17" t="s">
        <v>23</v>
      </c>
      <c r="P1" s="17" t="s">
        <v>21</v>
      </c>
    </row>
    <row r="2" customFormat="false" ht="32.8" hidden="false" customHeight="false" outlineLevel="0" collapsed="false">
      <c r="A2" s="18" t="s">
        <v>55</v>
      </c>
      <c r="B2" s="19" t="s">
        <v>56</v>
      </c>
      <c r="C2" s="19" t="s">
        <v>57</v>
      </c>
      <c r="D2" s="19" t="s">
        <v>58</v>
      </c>
      <c r="E2" s="19" t="s">
        <v>59</v>
      </c>
      <c r="F2" s="19" t="s">
        <v>60</v>
      </c>
      <c r="G2" s="19" t="s">
        <v>61</v>
      </c>
      <c r="H2" s="19" t="s">
        <v>62</v>
      </c>
      <c r="I2" s="20"/>
      <c r="J2" s="20"/>
      <c r="K2" s="20"/>
      <c r="L2" s="20"/>
      <c r="M2" s="20"/>
      <c r="N2" s="20"/>
      <c r="O2" s="20"/>
      <c r="P2" s="19" t="s">
        <v>57</v>
      </c>
    </row>
    <row r="3" customFormat="false" ht="32.8" hidden="false" customHeight="false" outlineLevel="0" collapsed="false">
      <c r="A3" s="21" t="s">
        <v>63</v>
      </c>
      <c r="B3" s="22" t="s">
        <v>56</v>
      </c>
      <c r="C3" s="22" t="s">
        <v>57</v>
      </c>
      <c r="D3" s="22" t="s">
        <v>64</v>
      </c>
      <c r="E3" s="22" t="s">
        <v>65</v>
      </c>
      <c r="F3" s="22" t="s">
        <v>66</v>
      </c>
      <c r="G3" s="22" t="s">
        <v>67</v>
      </c>
      <c r="H3" s="22" t="s">
        <v>62</v>
      </c>
      <c r="I3" s="23"/>
      <c r="J3" s="23"/>
      <c r="K3" s="23"/>
      <c r="L3" s="23"/>
      <c r="M3" s="23"/>
      <c r="N3" s="23"/>
      <c r="O3" s="23"/>
      <c r="P3" s="22" t="s">
        <v>68</v>
      </c>
    </row>
    <row r="4" customFormat="false" ht="22.35" hidden="false" customHeight="false" outlineLevel="0" collapsed="false">
      <c r="A4" s="21" t="s">
        <v>69</v>
      </c>
      <c r="B4" s="22" t="s">
        <v>56</v>
      </c>
      <c r="C4" s="22" t="s">
        <v>57</v>
      </c>
      <c r="D4" s="22" t="s">
        <v>70</v>
      </c>
      <c r="E4" s="22" t="s">
        <v>71</v>
      </c>
      <c r="F4" s="22" t="s">
        <v>72</v>
      </c>
      <c r="G4" s="22" t="s">
        <v>73</v>
      </c>
      <c r="H4" s="22" t="s">
        <v>74</v>
      </c>
      <c r="I4" s="23"/>
      <c r="J4" s="23"/>
      <c r="K4" s="23"/>
      <c r="L4" s="23"/>
      <c r="M4" s="23"/>
      <c r="N4" s="23"/>
      <c r="O4" s="23"/>
      <c r="P4" s="22" t="s">
        <v>68</v>
      </c>
    </row>
    <row r="5" customFormat="false" ht="22.35" hidden="false" customHeight="false" outlineLevel="0" collapsed="false">
      <c r="A5" s="21" t="s">
        <v>75</v>
      </c>
      <c r="B5" s="22" t="s">
        <v>56</v>
      </c>
      <c r="C5" s="22" t="s">
        <v>76</v>
      </c>
      <c r="D5" s="22" t="s">
        <v>77</v>
      </c>
      <c r="E5" s="22" t="s">
        <v>78</v>
      </c>
      <c r="F5" s="22" t="s">
        <v>79</v>
      </c>
      <c r="G5" s="22" t="s">
        <v>80</v>
      </c>
      <c r="H5" s="22" t="s">
        <v>74</v>
      </c>
      <c r="I5" s="23"/>
      <c r="J5" s="23"/>
      <c r="K5" s="23"/>
      <c r="L5" s="23"/>
      <c r="M5" s="23"/>
      <c r="N5" s="23"/>
      <c r="O5" s="23"/>
      <c r="P5" s="22" t="s">
        <v>81</v>
      </c>
    </row>
    <row r="6" customFormat="false" ht="22.35" hidden="false" customHeight="false" outlineLevel="0" collapsed="false">
      <c r="A6" s="21" t="s">
        <v>82</v>
      </c>
      <c r="B6" s="22" t="s">
        <v>56</v>
      </c>
      <c r="C6" s="22" t="s">
        <v>76</v>
      </c>
      <c r="D6" s="22" t="s">
        <v>83</v>
      </c>
      <c r="E6" s="22" t="s">
        <v>84</v>
      </c>
      <c r="F6" s="22" t="s">
        <v>79</v>
      </c>
      <c r="G6" s="22" t="s">
        <v>80</v>
      </c>
      <c r="H6" s="22" t="s">
        <v>74</v>
      </c>
      <c r="I6" s="23"/>
      <c r="J6" s="23"/>
      <c r="K6" s="23"/>
      <c r="L6" s="23"/>
      <c r="M6" s="23"/>
      <c r="N6" s="23"/>
      <c r="O6" s="23"/>
      <c r="P6" s="22" t="s">
        <v>81</v>
      </c>
    </row>
    <row r="7" customFormat="false" ht="22.35" hidden="false" customHeight="false" outlineLevel="0" collapsed="false">
      <c r="A7" s="21" t="s">
        <v>85</v>
      </c>
      <c r="B7" s="22" t="s">
        <v>56</v>
      </c>
      <c r="C7" s="22" t="s">
        <v>76</v>
      </c>
      <c r="D7" s="22" t="s">
        <v>86</v>
      </c>
      <c r="E7" s="22" t="s">
        <v>87</v>
      </c>
      <c r="F7" s="22" t="s">
        <v>79</v>
      </c>
      <c r="G7" s="22" t="s">
        <v>80</v>
      </c>
      <c r="H7" s="22" t="s">
        <v>74</v>
      </c>
      <c r="I7" s="23"/>
      <c r="J7" s="23"/>
      <c r="K7" s="23"/>
      <c r="L7" s="23"/>
      <c r="M7" s="23"/>
      <c r="N7" s="23"/>
      <c r="O7" s="23"/>
      <c r="P7" s="22" t="s">
        <v>81</v>
      </c>
    </row>
    <row r="8" customFormat="false" ht="22.35" hidden="false" customHeight="false" outlineLevel="0" collapsed="false">
      <c r="A8" s="21" t="s">
        <v>88</v>
      </c>
      <c r="B8" s="22" t="s">
        <v>56</v>
      </c>
      <c r="C8" s="22" t="s">
        <v>76</v>
      </c>
      <c r="D8" s="22" t="s">
        <v>89</v>
      </c>
      <c r="E8" s="22" t="s">
        <v>90</v>
      </c>
      <c r="F8" s="22" t="s">
        <v>79</v>
      </c>
      <c r="G8" s="22" t="s">
        <v>80</v>
      </c>
      <c r="H8" s="22" t="s">
        <v>74</v>
      </c>
      <c r="I8" s="23"/>
      <c r="J8" s="23"/>
      <c r="K8" s="23"/>
      <c r="L8" s="23"/>
      <c r="M8" s="23"/>
      <c r="N8" s="23"/>
      <c r="O8" s="23"/>
      <c r="P8" s="22" t="s">
        <v>81</v>
      </c>
    </row>
    <row r="9" customFormat="false" ht="15" hidden="false" customHeight="false" outlineLevel="0" collapsed="false">
      <c r="A9" s="21" t="s">
        <v>91</v>
      </c>
      <c r="B9" s="22" t="s">
        <v>56</v>
      </c>
      <c r="C9" s="22" t="s">
        <v>92</v>
      </c>
      <c r="D9" s="22" t="s">
        <v>93</v>
      </c>
      <c r="E9" s="22" t="s">
        <v>94</v>
      </c>
      <c r="F9" s="22" t="s">
        <v>95</v>
      </c>
      <c r="G9" s="22" t="s">
        <v>96</v>
      </c>
      <c r="H9" s="22" t="s">
        <v>74</v>
      </c>
      <c r="I9" s="23"/>
      <c r="J9" s="23"/>
      <c r="K9" s="23"/>
      <c r="L9" s="23"/>
      <c r="M9" s="23"/>
      <c r="N9" s="23"/>
      <c r="O9" s="23"/>
      <c r="P9" s="22" t="s">
        <v>97</v>
      </c>
    </row>
    <row r="10" customFormat="false" ht="22.35" hidden="false" customHeight="false" outlineLevel="0" collapsed="false">
      <c r="A10" s="21" t="s">
        <v>98</v>
      </c>
      <c r="B10" s="22" t="s">
        <v>56</v>
      </c>
      <c r="C10" s="22" t="s">
        <v>92</v>
      </c>
      <c r="D10" s="22" t="s">
        <v>99</v>
      </c>
      <c r="E10" s="22" t="s">
        <v>94</v>
      </c>
      <c r="F10" s="22" t="s">
        <v>100</v>
      </c>
      <c r="G10" s="22" t="s">
        <v>101</v>
      </c>
      <c r="H10" s="22" t="s">
        <v>74</v>
      </c>
      <c r="I10" s="23"/>
      <c r="J10" s="23"/>
      <c r="K10" s="23"/>
      <c r="L10" s="23"/>
      <c r="M10" s="23"/>
      <c r="N10" s="23"/>
      <c r="O10" s="23"/>
      <c r="P10" s="22" t="s">
        <v>97</v>
      </c>
    </row>
    <row r="11" customFormat="false" ht="22.35" hidden="false" customHeight="false" outlineLevel="0" collapsed="false">
      <c r="A11" s="21" t="s">
        <v>102</v>
      </c>
      <c r="B11" s="22" t="s">
        <v>56</v>
      </c>
      <c r="C11" s="22" t="s">
        <v>103</v>
      </c>
      <c r="D11" s="22" t="s">
        <v>104</v>
      </c>
      <c r="E11" s="22" t="s">
        <v>105</v>
      </c>
      <c r="F11" s="22" t="s">
        <v>106</v>
      </c>
      <c r="G11" s="22" t="s">
        <v>107</v>
      </c>
      <c r="H11" s="22" t="s">
        <v>62</v>
      </c>
      <c r="I11" s="23"/>
      <c r="J11" s="23"/>
      <c r="K11" s="23"/>
      <c r="L11" s="23"/>
      <c r="M11" s="23"/>
      <c r="N11" s="23"/>
      <c r="O11" s="23"/>
      <c r="P11" s="22" t="s">
        <v>68</v>
      </c>
    </row>
    <row r="12" customFormat="false" ht="22.35" hidden="false" customHeight="false" outlineLevel="0" collapsed="false">
      <c r="A12" s="18" t="s">
        <v>108</v>
      </c>
      <c r="B12" s="19" t="s">
        <v>109</v>
      </c>
      <c r="C12" s="19" t="s">
        <v>110</v>
      </c>
      <c r="D12" s="19" t="s">
        <v>111</v>
      </c>
      <c r="E12" s="19" t="s">
        <v>112</v>
      </c>
      <c r="F12" s="19" t="s">
        <v>113</v>
      </c>
      <c r="G12" s="19" t="s">
        <v>114</v>
      </c>
      <c r="H12" s="19" t="s">
        <v>62</v>
      </c>
      <c r="I12" s="20" t="s">
        <v>115</v>
      </c>
      <c r="J12" s="20" t="s">
        <v>35</v>
      </c>
      <c r="K12" s="20" t="s">
        <v>115</v>
      </c>
      <c r="L12" s="20" t="s">
        <v>116</v>
      </c>
      <c r="M12" s="20" t="s">
        <v>116</v>
      </c>
      <c r="N12" s="20" t="s">
        <v>116</v>
      </c>
      <c r="O12" s="20" t="s">
        <v>117</v>
      </c>
      <c r="P12" s="19" t="s">
        <v>13</v>
      </c>
    </row>
    <row r="13" customFormat="false" ht="22.35" hidden="false" customHeight="false" outlineLevel="0" collapsed="false">
      <c r="A13" s="21" t="s">
        <v>118</v>
      </c>
      <c r="B13" s="22" t="s">
        <v>109</v>
      </c>
      <c r="C13" s="22" t="s">
        <v>110</v>
      </c>
      <c r="D13" s="22" t="s">
        <v>119</v>
      </c>
      <c r="E13" s="22" t="s">
        <v>120</v>
      </c>
      <c r="F13" s="22" t="s">
        <v>121</v>
      </c>
      <c r="G13" s="22" t="s">
        <v>122</v>
      </c>
      <c r="H13" s="22" t="s">
        <v>74</v>
      </c>
      <c r="I13" s="23"/>
      <c r="J13" s="23"/>
      <c r="K13" s="23"/>
      <c r="L13" s="23"/>
      <c r="M13" s="23"/>
      <c r="N13" s="23"/>
      <c r="O13" s="23"/>
      <c r="P13" s="22" t="s">
        <v>68</v>
      </c>
    </row>
    <row r="14" customFormat="false" ht="15" hidden="false" customHeight="false" outlineLevel="0" collapsed="false">
      <c r="A14" s="21" t="s">
        <v>123</v>
      </c>
      <c r="B14" s="22" t="s">
        <v>109</v>
      </c>
      <c r="C14" s="22" t="s">
        <v>110</v>
      </c>
      <c r="D14" s="22" t="s">
        <v>124</v>
      </c>
      <c r="E14" s="22" t="s">
        <v>125</v>
      </c>
      <c r="F14" s="22" t="s">
        <v>126</v>
      </c>
      <c r="G14" s="22" t="s">
        <v>127</v>
      </c>
      <c r="H14" s="22" t="s">
        <v>62</v>
      </c>
      <c r="I14" s="23"/>
      <c r="J14" s="23"/>
      <c r="K14" s="23"/>
      <c r="L14" s="23"/>
      <c r="M14" s="23"/>
      <c r="N14" s="23"/>
      <c r="O14" s="23"/>
      <c r="P14" s="22" t="s">
        <v>68</v>
      </c>
    </row>
    <row r="15" customFormat="false" ht="15" hidden="false" customHeight="false" outlineLevel="0" collapsed="false">
      <c r="A15" s="21" t="s">
        <v>128</v>
      </c>
      <c r="B15" s="22" t="s">
        <v>109</v>
      </c>
      <c r="C15" s="22" t="s">
        <v>129</v>
      </c>
      <c r="D15" s="22" t="s">
        <v>130</v>
      </c>
      <c r="E15" s="22" t="s">
        <v>131</v>
      </c>
      <c r="F15" s="22" t="s">
        <v>132</v>
      </c>
      <c r="G15" s="22" t="s">
        <v>133</v>
      </c>
      <c r="H15" s="22" t="s">
        <v>62</v>
      </c>
      <c r="I15" s="23"/>
      <c r="J15" s="23"/>
      <c r="K15" s="23"/>
      <c r="L15" s="23"/>
      <c r="M15" s="23"/>
      <c r="N15" s="23"/>
      <c r="O15" s="23"/>
      <c r="P15" s="22" t="s">
        <v>13</v>
      </c>
    </row>
    <row r="16" customFormat="false" ht="15" hidden="false" customHeight="false" outlineLevel="0" collapsed="false">
      <c r="A16" s="21" t="s">
        <v>134</v>
      </c>
      <c r="B16" s="22" t="s">
        <v>109</v>
      </c>
      <c r="C16" s="22" t="s">
        <v>135</v>
      </c>
      <c r="D16" s="22" t="s">
        <v>136</v>
      </c>
      <c r="E16" s="22" t="s">
        <v>137</v>
      </c>
      <c r="F16" s="22" t="s">
        <v>138</v>
      </c>
      <c r="G16" s="22" t="s">
        <v>139</v>
      </c>
      <c r="H16" s="22" t="s">
        <v>62</v>
      </c>
      <c r="I16" s="23"/>
      <c r="J16" s="23"/>
      <c r="K16" s="23"/>
      <c r="L16" s="23"/>
      <c r="M16" s="23"/>
      <c r="N16" s="23"/>
      <c r="O16" s="23"/>
      <c r="P16" s="22" t="s">
        <v>13</v>
      </c>
    </row>
    <row r="17" customFormat="false" ht="15" hidden="false" customHeight="false" outlineLevel="0" collapsed="false">
      <c r="A17" s="21" t="s">
        <v>140</v>
      </c>
      <c r="B17" s="22" t="s">
        <v>109</v>
      </c>
      <c r="C17" s="22" t="s">
        <v>141</v>
      </c>
      <c r="D17" s="22" t="s">
        <v>142</v>
      </c>
      <c r="E17" s="22" t="s">
        <v>143</v>
      </c>
      <c r="F17" s="22" t="s">
        <v>144</v>
      </c>
      <c r="G17" s="22" t="s">
        <v>145</v>
      </c>
      <c r="H17" s="22" t="s">
        <v>62</v>
      </c>
      <c r="I17" s="23"/>
      <c r="J17" s="23"/>
      <c r="K17" s="23"/>
      <c r="L17" s="23"/>
      <c r="M17" s="23"/>
      <c r="N17" s="23"/>
      <c r="O17" s="23"/>
      <c r="P17" s="22" t="s">
        <v>13</v>
      </c>
    </row>
    <row r="18" customFormat="false" ht="15" hidden="false" customHeight="false" outlineLevel="0" collapsed="false">
      <c r="A18" s="21" t="s">
        <v>146</v>
      </c>
      <c r="B18" s="22" t="s">
        <v>109</v>
      </c>
      <c r="C18" s="22" t="s">
        <v>147</v>
      </c>
      <c r="D18" s="22" t="s">
        <v>148</v>
      </c>
      <c r="E18" s="22" t="s">
        <v>131</v>
      </c>
      <c r="F18" s="22" t="s">
        <v>149</v>
      </c>
      <c r="G18" s="22" t="s">
        <v>150</v>
      </c>
      <c r="H18" s="22" t="s">
        <v>62</v>
      </c>
      <c r="I18" s="23"/>
      <c r="J18" s="23"/>
      <c r="K18" s="23"/>
      <c r="L18" s="23"/>
      <c r="M18" s="23"/>
      <c r="N18" s="23"/>
      <c r="O18" s="23"/>
      <c r="P18" s="22" t="s">
        <v>13</v>
      </c>
    </row>
    <row r="19" customFormat="false" ht="15" hidden="false" customHeight="false" outlineLevel="0" collapsed="false">
      <c r="A19" s="21" t="s">
        <v>151</v>
      </c>
      <c r="B19" s="22" t="s">
        <v>109</v>
      </c>
      <c r="C19" s="22" t="s">
        <v>110</v>
      </c>
      <c r="D19" s="22" t="s">
        <v>152</v>
      </c>
      <c r="E19" s="22" t="s">
        <v>153</v>
      </c>
      <c r="F19" s="22" t="s">
        <v>154</v>
      </c>
      <c r="G19" s="22" t="s">
        <v>155</v>
      </c>
      <c r="H19" s="22" t="s">
        <v>74</v>
      </c>
      <c r="I19" s="23"/>
      <c r="J19" s="23"/>
      <c r="K19" s="23"/>
      <c r="L19" s="23"/>
      <c r="M19" s="23"/>
      <c r="N19" s="23"/>
      <c r="O19" s="23"/>
      <c r="P19" s="22" t="s">
        <v>68</v>
      </c>
    </row>
    <row r="20" customFormat="false" ht="15" hidden="false" customHeight="false" outlineLevel="0" collapsed="false">
      <c r="A20" s="21" t="s">
        <v>156</v>
      </c>
      <c r="B20" s="22" t="s">
        <v>109</v>
      </c>
      <c r="C20" s="22" t="s">
        <v>157</v>
      </c>
      <c r="D20" s="22" t="s">
        <v>158</v>
      </c>
      <c r="E20" s="22" t="s">
        <v>159</v>
      </c>
      <c r="F20" s="22" t="s">
        <v>160</v>
      </c>
      <c r="G20" s="22" t="s">
        <v>161</v>
      </c>
      <c r="H20" s="22" t="s">
        <v>62</v>
      </c>
      <c r="I20" s="23"/>
      <c r="J20" s="23"/>
      <c r="K20" s="23"/>
      <c r="L20" s="23"/>
      <c r="M20" s="23"/>
      <c r="N20" s="23"/>
      <c r="O20" s="23"/>
      <c r="P20" s="22" t="s">
        <v>162</v>
      </c>
    </row>
    <row r="21" customFormat="false" ht="22.35" hidden="false" customHeight="false" outlineLevel="0" collapsed="false">
      <c r="A21" s="21" t="s">
        <v>163</v>
      </c>
      <c r="B21" s="22" t="s">
        <v>109</v>
      </c>
      <c r="C21" s="22" t="s">
        <v>157</v>
      </c>
      <c r="D21" s="22" t="s">
        <v>164</v>
      </c>
      <c r="E21" s="22" t="s">
        <v>165</v>
      </c>
      <c r="F21" s="22" t="s">
        <v>166</v>
      </c>
      <c r="G21" s="22" t="s">
        <v>167</v>
      </c>
      <c r="H21" s="22" t="s">
        <v>62</v>
      </c>
      <c r="I21" s="23"/>
      <c r="J21" s="23"/>
      <c r="K21" s="23"/>
      <c r="L21" s="23"/>
      <c r="M21" s="23"/>
      <c r="N21" s="23"/>
      <c r="O21" s="23"/>
      <c r="P21" s="22" t="s">
        <v>68</v>
      </c>
    </row>
    <row r="22" customFormat="false" ht="15" hidden="false" customHeight="false" outlineLevel="0" collapsed="false">
      <c r="A22" s="21" t="s">
        <v>168</v>
      </c>
      <c r="B22" s="22" t="s">
        <v>109</v>
      </c>
      <c r="C22" s="22" t="s">
        <v>157</v>
      </c>
      <c r="D22" s="22" t="s">
        <v>169</v>
      </c>
      <c r="E22" s="22" t="s">
        <v>170</v>
      </c>
      <c r="F22" s="22" t="s">
        <v>171</v>
      </c>
      <c r="G22" s="22" t="s">
        <v>172</v>
      </c>
      <c r="H22" s="22" t="s">
        <v>62</v>
      </c>
      <c r="I22" s="23"/>
      <c r="J22" s="23"/>
      <c r="K22" s="23"/>
      <c r="L22" s="23"/>
      <c r="M22" s="23"/>
      <c r="N22" s="23"/>
      <c r="O22" s="23"/>
      <c r="P22" s="22" t="s">
        <v>68</v>
      </c>
    </row>
    <row r="23" customFormat="false" ht="22.35" hidden="false" customHeight="false" outlineLevel="0" collapsed="false">
      <c r="A23" s="21" t="s">
        <v>173</v>
      </c>
      <c r="B23" s="22" t="s">
        <v>109</v>
      </c>
      <c r="C23" s="22" t="s">
        <v>174</v>
      </c>
      <c r="D23" s="22" t="s">
        <v>175</v>
      </c>
      <c r="E23" s="22" t="s">
        <v>176</v>
      </c>
      <c r="F23" s="22" t="s">
        <v>177</v>
      </c>
      <c r="G23" s="22" t="s">
        <v>178</v>
      </c>
      <c r="H23" s="22" t="s">
        <v>62</v>
      </c>
      <c r="I23" s="23"/>
      <c r="J23" s="23"/>
      <c r="K23" s="23"/>
      <c r="L23" s="23"/>
      <c r="M23" s="23"/>
      <c r="N23" s="23"/>
      <c r="O23" s="23"/>
      <c r="P23" s="22" t="s">
        <v>162</v>
      </c>
    </row>
    <row r="24" customFormat="false" ht="15" hidden="false" customHeight="false" outlineLevel="0" collapsed="false">
      <c r="A24" s="18" t="s">
        <v>179</v>
      </c>
      <c r="B24" s="19" t="s">
        <v>180</v>
      </c>
      <c r="C24" s="19" t="s">
        <v>181</v>
      </c>
      <c r="D24" s="19" t="s">
        <v>182</v>
      </c>
      <c r="E24" s="19" t="s">
        <v>183</v>
      </c>
      <c r="F24" s="19" t="s">
        <v>184</v>
      </c>
      <c r="G24" s="19" t="s">
        <v>185</v>
      </c>
      <c r="H24" s="19" t="s">
        <v>62</v>
      </c>
      <c r="I24" s="20"/>
      <c r="J24" s="20"/>
      <c r="K24" s="20"/>
      <c r="L24" s="20"/>
      <c r="M24" s="20"/>
      <c r="N24" s="20"/>
      <c r="O24" s="20"/>
      <c r="P24" s="19" t="s">
        <v>180</v>
      </c>
    </row>
    <row r="25" customFormat="false" ht="15" hidden="false" customHeight="false" outlineLevel="0" collapsed="false">
      <c r="A25" s="21" t="s">
        <v>186</v>
      </c>
      <c r="B25" s="22" t="s">
        <v>180</v>
      </c>
      <c r="C25" s="22" t="s">
        <v>181</v>
      </c>
      <c r="D25" s="22" t="s">
        <v>187</v>
      </c>
      <c r="E25" s="22" t="s">
        <v>188</v>
      </c>
      <c r="F25" s="22" t="s">
        <v>189</v>
      </c>
      <c r="G25" s="22" t="s">
        <v>190</v>
      </c>
      <c r="H25" s="22" t="s">
        <v>62</v>
      </c>
      <c r="I25" s="23"/>
      <c r="J25" s="23"/>
      <c r="K25" s="23"/>
      <c r="L25" s="23"/>
      <c r="M25" s="23"/>
      <c r="N25" s="23"/>
      <c r="O25" s="23"/>
      <c r="P25" s="22" t="s">
        <v>180</v>
      </c>
    </row>
    <row r="26" customFormat="false" ht="15" hidden="false" customHeight="false" outlineLevel="0" collapsed="false">
      <c r="A26" s="21" t="s">
        <v>191</v>
      </c>
      <c r="B26" s="22" t="s">
        <v>180</v>
      </c>
      <c r="C26" s="22" t="s">
        <v>192</v>
      </c>
      <c r="D26" s="22" t="s">
        <v>193</v>
      </c>
      <c r="E26" s="22" t="s">
        <v>194</v>
      </c>
      <c r="F26" s="22" t="s">
        <v>195</v>
      </c>
      <c r="G26" s="22" t="s">
        <v>196</v>
      </c>
      <c r="H26" s="22" t="s">
        <v>62</v>
      </c>
      <c r="I26" s="23"/>
      <c r="J26" s="23"/>
      <c r="K26" s="23"/>
      <c r="L26" s="23"/>
      <c r="M26" s="23"/>
      <c r="N26" s="23"/>
      <c r="O26" s="23"/>
      <c r="P26" s="22" t="s">
        <v>180</v>
      </c>
    </row>
    <row r="27" customFormat="false" ht="15" hidden="false" customHeight="false" outlineLevel="0" collapsed="false">
      <c r="A27" s="21" t="s">
        <v>197</v>
      </c>
      <c r="B27" s="22" t="s">
        <v>180</v>
      </c>
      <c r="C27" s="22" t="s">
        <v>147</v>
      </c>
      <c r="D27" s="22" t="s">
        <v>198</v>
      </c>
      <c r="E27" s="22" t="s">
        <v>194</v>
      </c>
      <c r="F27" s="22" t="s">
        <v>199</v>
      </c>
      <c r="G27" s="22" t="s">
        <v>200</v>
      </c>
      <c r="H27" s="22" t="s">
        <v>62</v>
      </c>
      <c r="I27" s="23"/>
      <c r="J27" s="23"/>
      <c r="K27" s="23"/>
      <c r="L27" s="23"/>
      <c r="M27" s="23"/>
      <c r="N27" s="23"/>
      <c r="O27" s="23"/>
      <c r="P27" s="22" t="s">
        <v>180</v>
      </c>
    </row>
    <row r="28" customFormat="false" ht="15" hidden="false" customHeight="false" outlineLevel="0" collapsed="false">
      <c r="A28" s="21" t="s">
        <v>201</v>
      </c>
      <c r="B28" s="22" t="s">
        <v>180</v>
      </c>
      <c r="C28" s="22" t="s">
        <v>202</v>
      </c>
      <c r="D28" s="22" t="s">
        <v>203</v>
      </c>
      <c r="E28" s="22" t="s">
        <v>204</v>
      </c>
      <c r="F28" s="22" t="s">
        <v>205</v>
      </c>
      <c r="G28" s="22" t="s">
        <v>206</v>
      </c>
      <c r="H28" s="22" t="s">
        <v>74</v>
      </c>
      <c r="I28" s="23"/>
      <c r="J28" s="23"/>
      <c r="K28" s="23"/>
      <c r="L28" s="23"/>
      <c r="M28" s="23"/>
      <c r="N28" s="23"/>
      <c r="O28" s="23"/>
      <c r="P28" s="22" t="s">
        <v>68</v>
      </c>
    </row>
    <row r="29" customFormat="false" ht="22.35" hidden="false" customHeight="false" outlineLevel="0" collapsed="false">
      <c r="A29" s="21" t="s">
        <v>207</v>
      </c>
      <c r="B29" s="22" t="s">
        <v>180</v>
      </c>
      <c r="C29" s="22" t="s">
        <v>174</v>
      </c>
      <c r="D29" s="22" t="s">
        <v>208</v>
      </c>
      <c r="E29" s="22" t="s">
        <v>209</v>
      </c>
      <c r="F29" s="22" t="s">
        <v>210</v>
      </c>
      <c r="G29" s="22" t="s">
        <v>211</v>
      </c>
      <c r="H29" s="22" t="s">
        <v>62</v>
      </c>
      <c r="I29" s="23"/>
      <c r="J29" s="23"/>
      <c r="K29" s="23"/>
      <c r="L29" s="23"/>
      <c r="M29" s="23"/>
      <c r="N29" s="23"/>
      <c r="O29" s="23"/>
      <c r="P29" s="22" t="s">
        <v>68</v>
      </c>
    </row>
    <row r="30" customFormat="false" ht="22.35" hidden="false" customHeight="false" outlineLevel="0" collapsed="false">
      <c r="A30" s="21" t="s">
        <v>212</v>
      </c>
      <c r="B30" s="22" t="s">
        <v>180</v>
      </c>
      <c r="C30" s="22" t="s">
        <v>213</v>
      </c>
      <c r="D30" s="22" t="s">
        <v>214</v>
      </c>
      <c r="E30" s="22" t="s">
        <v>215</v>
      </c>
      <c r="F30" s="22" t="s">
        <v>216</v>
      </c>
      <c r="G30" s="22" t="s">
        <v>217</v>
      </c>
      <c r="H30" s="22" t="s">
        <v>62</v>
      </c>
      <c r="I30" s="23"/>
      <c r="J30" s="23"/>
      <c r="K30" s="23"/>
      <c r="L30" s="23"/>
      <c r="M30" s="23"/>
      <c r="N30" s="23"/>
      <c r="O30" s="23"/>
      <c r="P30" s="22" t="s">
        <v>68</v>
      </c>
    </row>
    <row r="31" customFormat="false" ht="15" hidden="false" customHeight="false" outlineLevel="0" collapsed="false">
      <c r="A31" s="18" t="s">
        <v>218</v>
      </c>
      <c r="B31" s="19" t="s">
        <v>219</v>
      </c>
      <c r="C31" s="19" t="s">
        <v>110</v>
      </c>
      <c r="D31" s="19" t="s">
        <v>220</v>
      </c>
      <c r="E31" s="19" t="s">
        <v>221</v>
      </c>
      <c r="F31" s="19" t="s">
        <v>222</v>
      </c>
      <c r="G31" s="19" t="s">
        <v>223</v>
      </c>
      <c r="H31" s="19" t="s">
        <v>62</v>
      </c>
      <c r="I31" s="20"/>
      <c r="J31" s="20"/>
      <c r="K31" s="20"/>
      <c r="L31" s="20"/>
      <c r="M31" s="20"/>
      <c r="N31" s="20"/>
      <c r="O31" s="20"/>
      <c r="P31" s="19" t="s">
        <v>219</v>
      </c>
    </row>
    <row r="32" customFormat="false" ht="15" hidden="false" customHeight="false" outlineLevel="0" collapsed="false">
      <c r="A32" s="21" t="s">
        <v>224</v>
      </c>
      <c r="B32" s="22" t="s">
        <v>219</v>
      </c>
      <c r="C32" s="22" t="s">
        <v>225</v>
      </c>
      <c r="D32" s="22" t="s">
        <v>226</v>
      </c>
      <c r="E32" s="22" t="s">
        <v>227</v>
      </c>
      <c r="F32" s="22" t="s">
        <v>228</v>
      </c>
      <c r="G32" s="22" t="s">
        <v>229</v>
      </c>
      <c r="H32" s="22" t="s">
        <v>62</v>
      </c>
      <c r="I32" s="23"/>
      <c r="J32" s="23"/>
      <c r="K32" s="23"/>
      <c r="L32" s="23"/>
      <c r="M32" s="23"/>
      <c r="N32" s="23"/>
      <c r="O32" s="23"/>
      <c r="P32" s="22" t="s">
        <v>219</v>
      </c>
    </row>
    <row r="33" customFormat="false" ht="15" hidden="false" customHeight="false" outlineLevel="0" collapsed="false">
      <c r="A33" s="21" t="s">
        <v>230</v>
      </c>
      <c r="B33" s="22" t="s">
        <v>219</v>
      </c>
      <c r="C33" s="22" t="s">
        <v>225</v>
      </c>
      <c r="D33" s="22" t="s">
        <v>231</v>
      </c>
      <c r="E33" s="22" t="s">
        <v>232</v>
      </c>
      <c r="F33" s="22" t="s">
        <v>233</v>
      </c>
      <c r="G33" s="22" t="s">
        <v>234</v>
      </c>
      <c r="H33" s="22" t="s">
        <v>62</v>
      </c>
      <c r="I33" s="23"/>
      <c r="J33" s="23"/>
      <c r="K33" s="23"/>
      <c r="L33" s="23"/>
      <c r="M33" s="23"/>
      <c r="N33" s="23"/>
      <c r="O33" s="23"/>
      <c r="P33" s="22" t="s">
        <v>219</v>
      </c>
    </row>
    <row r="34" customFormat="false" ht="15" hidden="false" customHeight="false" outlineLevel="0" collapsed="false">
      <c r="A34" s="21" t="s">
        <v>235</v>
      </c>
      <c r="B34" s="22" t="s">
        <v>219</v>
      </c>
      <c r="C34" s="22" t="s">
        <v>192</v>
      </c>
      <c r="D34" s="22" t="s">
        <v>236</v>
      </c>
      <c r="E34" s="22" t="s">
        <v>237</v>
      </c>
      <c r="F34" s="22" t="s">
        <v>238</v>
      </c>
      <c r="G34" s="22" t="s">
        <v>239</v>
      </c>
      <c r="H34" s="22" t="s">
        <v>74</v>
      </c>
      <c r="I34" s="23"/>
      <c r="J34" s="23"/>
      <c r="K34" s="23"/>
      <c r="L34" s="23"/>
      <c r="M34" s="23"/>
      <c r="N34" s="23"/>
      <c r="O34" s="23"/>
      <c r="P34" s="22" t="s">
        <v>219</v>
      </c>
    </row>
    <row r="35" customFormat="false" ht="22.35" hidden="false" customHeight="false" outlineLevel="0" collapsed="false">
      <c r="A35" s="21" t="s">
        <v>240</v>
      </c>
      <c r="B35" s="22" t="s">
        <v>219</v>
      </c>
      <c r="C35" s="22" t="s">
        <v>147</v>
      </c>
      <c r="D35" s="22" t="s">
        <v>241</v>
      </c>
      <c r="E35" s="22" t="s">
        <v>237</v>
      </c>
      <c r="F35" s="22" t="s">
        <v>242</v>
      </c>
      <c r="G35" s="22" t="s">
        <v>243</v>
      </c>
      <c r="H35" s="22" t="s">
        <v>74</v>
      </c>
      <c r="I35" s="23"/>
      <c r="J35" s="23"/>
      <c r="K35" s="23"/>
      <c r="L35" s="23"/>
      <c r="M35" s="23"/>
      <c r="N35" s="23"/>
      <c r="O35" s="23"/>
      <c r="P35" s="22" t="s">
        <v>219</v>
      </c>
    </row>
    <row r="36" customFormat="false" ht="15" hidden="false" customHeight="false" outlineLevel="0" collapsed="false">
      <c r="A36" s="21" t="s">
        <v>244</v>
      </c>
      <c r="B36" s="22" t="s">
        <v>219</v>
      </c>
      <c r="C36" s="22" t="s">
        <v>245</v>
      </c>
      <c r="D36" s="22" t="s">
        <v>246</v>
      </c>
      <c r="E36" s="22" t="s">
        <v>247</v>
      </c>
      <c r="F36" s="22" t="s">
        <v>248</v>
      </c>
      <c r="G36" s="22" t="s">
        <v>249</v>
      </c>
      <c r="H36" s="22" t="s">
        <v>62</v>
      </c>
      <c r="I36" s="23"/>
      <c r="J36" s="23"/>
      <c r="K36" s="23"/>
      <c r="L36" s="23"/>
      <c r="M36" s="23"/>
      <c r="N36" s="23"/>
      <c r="O36" s="23"/>
      <c r="P36" s="22" t="s">
        <v>68</v>
      </c>
    </row>
    <row r="37" customFormat="false" ht="15" hidden="false" customHeight="false" outlineLevel="0" collapsed="false">
      <c r="A37" s="21" t="s">
        <v>250</v>
      </c>
      <c r="B37" s="22" t="s">
        <v>219</v>
      </c>
      <c r="C37" s="22" t="s">
        <v>157</v>
      </c>
      <c r="D37" s="22" t="s">
        <v>251</v>
      </c>
      <c r="E37" s="22" t="s">
        <v>252</v>
      </c>
      <c r="F37" s="22" t="s">
        <v>166</v>
      </c>
      <c r="G37" s="22" t="s">
        <v>253</v>
      </c>
      <c r="H37" s="22" t="s">
        <v>74</v>
      </c>
      <c r="I37" s="23"/>
      <c r="J37" s="23"/>
      <c r="K37" s="23"/>
      <c r="L37" s="23"/>
      <c r="M37" s="23"/>
      <c r="N37" s="23"/>
      <c r="O37" s="23"/>
      <c r="P37" s="22" t="s">
        <v>68</v>
      </c>
    </row>
    <row r="38" customFormat="false" ht="22.35" hidden="false" customHeight="false" outlineLevel="0" collapsed="false">
      <c r="A38" s="18" t="s">
        <v>254</v>
      </c>
      <c r="B38" s="19" t="s">
        <v>255</v>
      </c>
      <c r="C38" s="19" t="s">
        <v>256</v>
      </c>
      <c r="D38" s="19" t="s">
        <v>257</v>
      </c>
      <c r="E38" s="19" t="s">
        <v>258</v>
      </c>
      <c r="F38" s="19" t="s">
        <v>259</v>
      </c>
      <c r="G38" s="19" t="s">
        <v>260</v>
      </c>
      <c r="H38" s="19" t="s">
        <v>62</v>
      </c>
      <c r="I38" s="20"/>
      <c r="J38" s="20"/>
      <c r="K38" s="20"/>
      <c r="L38" s="20"/>
      <c r="M38" s="20"/>
      <c r="N38" s="20"/>
      <c r="O38" s="20"/>
      <c r="P38" s="19" t="s">
        <v>261</v>
      </c>
    </row>
    <row r="39" customFormat="false" ht="22.35" hidden="false" customHeight="false" outlineLevel="0" collapsed="false">
      <c r="A39" s="21" t="s">
        <v>262</v>
      </c>
      <c r="B39" s="22" t="s">
        <v>255</v>
      </c>
      <c r="C39" s="22" t="s">
        <v>256</v>
      </c>
      <c r="D39" s="22" t="s">
        <v>263</v>
      </c>
      <c r="E39" s="22" t="s">
        <v>264</v>
      </c>
      <c r="F39" s="22" t="s">
        <v>265</v>
      </c>
      <c r="G39" s="22" t="s">
        <v>266</v>
      </c>
      <c r="H39" s="22" t="s">
        <v>62</v>
      </c>
      <c r="I39" s="23"/>
      <c r="J39" s="23"/>
      <c r="K39" s="23"/>
      <c r="L39" s="23"/>
      <c r="M39" s="23"/>
      <c r="N39" s="23"/>
      <c r="O39" s="23"/>
      <c r="P39" s="22" t="s">
        <v>261</v>
      </c>
    </row>
    <row r="40" customFormat="false" ht="15" hidden="false" customHeight="false" outlineLevel="0" collapsed="false">
      <c r="A40" s="21" t="s">
        <v>267</v>
      </c>
      <c r="B40" s="22" t="s">
        <v>255</v>
      </c>
      <c r="C40" s="22" t="s">
        <v>174</v>
      </c>
      <c r="D40" s="22" t="s">
        <v>268</v>
      </c>
      <c r="E40" s="22" t="s">
        <v>269</v>
      </c>
      <c r="F40" s="22" t="s">
        <v>210</v>
      </c>
      <c r="G40" s="22" t="s">
        <v>270</v>
      </c>
      <c r="H40" s="22" t="s">
        <v>62</v>
      </c>
      <c r="I40" s="23"/>
      <c r="J40" s="23"/>
      <c r="K40" s="23"/>
      <c r="L40" s="23"/>
      <c r="M40" s="23"/>
      <c r="N40" s="23"/>
      <c r="O40" s="23"/>
      <c r="P40" s="22" t="s">
        <v>68</v>
      </c>
    </row>
    <row r="41" customFormat="false" ht="22.35" hidden="false" customHeight="false" outlineLevel="0" collapsed="false">
      <c r="A41" s="21" t="s">
        <v>271</v>
      </c>
      <c r="B41" s="22" t="s">
        <v>255</v>
      </c>
      <c r="C41" s="22" t="s">
        <v>272</v>
      </c>
      <c r="D41" s="22" t="s">
        <v>273</v>
      </c>
      <c r="E41" s="22" t="s">
        <v>274</v>
      </c>
      <c r="F41" s="22" t="s">
        <v>275</v>
      </c>
      <c r="G41" s="22" t="s">
        <v>276</v>
      </c>
      <c r="H41" s="22" t="s">
        <v>62</v>
      </c>
      <c r="I41" s="23"/>
      <c r="J41" s="23"/>
      <c r="K41" s="23"/>
      <c r="L41" s="23"/>
      <c r="M41" s="23"/>
      <c r="N41" s="23"/>
      <c r="O41" s="23"/>
      <c r="P41" s="22" t="s">
        <v>277</v>
      </c>
    </row>
    <row r="42" customFormat="false" ht="15" hidden="false" customHeight="false" outlineLevel="0" collapsed="false">
      <c r="A42" s="21" t="s">
        <v>278</v>
      </c>
      <c r="B42" s="22" t="s">
        <v>255</v>
      </c>
      <c r="C42" s="22" t="s">
        <v>279</v>
      </c>
      <c r="D42" s="22" t="s">
        <v>280</v>
      </c>
      <c r="E42" s="22" t="s">
        <v>281</v>
      </c>
      <c r="F42" s="22" t="s">
        <v>282</v>
      </c>
      <c r="G42" s="22" t="s">
        <v>283</v>
      </c>
      <c r="H42" s="22" t="s">
        <v>62</v>
      </c>
      <c r="I42" s="23"/>
      <c r="J42" s="23"/>
      <c r="K42" s="23"/>
      <c r="L42" s="23"/>
      <c r="M42" s="23"/>
      <c r="N42" s="23"/>
      <c r="O42" s="23"/>
      <c r="P42" s="22" t="s">
        <v>284</v>
      </c>
    </row>
    <row r="43" customFormat="false" ht="15" hidden="false" customHeight="false" outlineLevel="0" collapsed="false">
      <c r="A43" s="21" t="s">
        <v>285</v>
      </c>
      <c r="B43" s="22" t="s">
        <v>255</v>
      </c>
      <c r="C43" s="22" t="s">
        <v>279</v>
      </c>
      <c r="D43" s="22" t="s">
        <v>286</v>
      </c>
      <c r="E43" s="22" t="s">
        <v>287</v>
      </c>
      <c r="F43" s="22" t="s">
        <v>288</v>
      </c>
      <c r="G43" s="22" t="s">
        <v>289</v>
      </c>
      <c r="H43" s="22" t="s">
        <v>62</v>
      </c>
      <c r="I43" s="23"/>
      <c r="J43" s="23"/>
      <c r="K43" s="23"/>
      <c r="L43" s="23"/>
      <c r="M43" s="23"/>
      <c r="N43" s="23"/>
      <c r="O43" s="23"/>
      <c r="P43" s="22" t="s">
        <v>284</v>
      </c>
    </row>
    <row r="44" customFormat="false" ht="15" hidden="false" customHeight="false" outlineLevel="0" collapsed="false">
      <c r="A44" s="21" t="s">
        <v>290</v>
      </c>
      <c r="B44" s="22" t="s">
        <v>255</v>
      </c>
      <c r="C44" s="22" t="s">
        <v>291</v>
      </c>
      <c r="D44" s="22" t="s">
        <v>292</v>
      </c>
      <c r="E44" s="22" t="s">
        <v>293</v>
      </c>
      <c r="F44" s="22" t="s">
        <v>294</v>
      </c>
      <c r="G44" s="22" t="s">
        <v>295</v>
      </c>
      <c r="H44" s="22" t="s">
        <v>62</v>
      </c>
      <c r="I44" s="23"/>
      <c r="J44" s="23"/>
      <c r="K44" s="23"/>
      <c r="L44" s="23"/>
      <c r="M44" s="23"/>
      <c r="N44" s="23"/>
      <c r="O44" s="23"/>
      <c r="P44" s="22" t="s">
        <v>296</v>
      </c>
    </row>
    <row r="45" customFormat="false" ht="15" hidden="false" customHeight="false" outlineLevel="0" collapsed="false">
      <c r="A45" s="21" t="s">
        <v>297</v>
      </c>
      <c r="B45" s="22" t="s">
        <v>255</v>
      </c>
      <c r="C45" s="22" t="s">
        <v>291</v>
      </c>
      <c r="D45" s="22" t="s">
        <v>298</v>
      </c>
      <c r="E45" s="22" t="s">
        <v>299</v>
      </c>
      <c r="F45" s="22" t="s">
        <v>300</v>
      </c>
      <c r="G45" s="22" t="s">
        <v>301</v>
      </c>
      <c r="H45" s="22" t="s">
        <v>62</v>
      </c>
      <c r="I45" s="23"/>
      <c r="J45" s="23"/>
      <c r="K45" s="23"/>
      <c r="L45" s="23"/>
      <c r="M45" s="23"/>
      <c r="N45" s="23"/>
      <c r="O45" s="23"/>
      <c r="P45" s="22" t="s">
        <v>296</v>
      </c>
    </row>
    <row r="46" customFormat="false" ht="15" hidden="false" customHeight="false" outlineLevel="0" collapsed="false">
      <c r="A46" s="18" t="s">
        <v>302</v>
      </c>
      <c r="B46" s="19" t="s">
        <v>303</v>
      </c>
      <c r="C46" s="19" t="s">
        <v>304</v>
      </c>
      <c r="D46" s="19" t="s">
        <v>305</v>
      </c>
      <c r="E46" s="19" t="s">
        <v>306</v>
      </c>
      <c r="F46" s="19" t="s">
        <v>307</v>
      </c>
      <c r="G46" s="19" t="s">
        <v>308</v>
      </c>
      <c r="H46" s="19" t="s">
        <v>62</v>
      </c>
      <c r="I46" s="20"/>
      <c r="J46" s="20"/>
      <c r="K46" s="20"/>
      <c r="L46" s="20"/>
      <c r="M46" s="20"/>
      <c r="N46" s="20"/>
      <c r="O46" s="20"/>
      <c r="P46" s="19" t="s">
        <v>309</v>
      </c>
    </row>
    <row r="47" customFormat="false" ht="15" hidden="false" customHeight="false" outlineLevel="0" collapsed="false">
      <c r="A47" s="21" t="s">
        <v>310</v>
      </c>
      <c r="B47" s="22" t="s">
        <v>303</v>
      </c>
      <c r="C47" s="22" t="s">
        <v>304</v>
      </c>
      <c r="D47" s="22" t="s">
        <v>311</v>
      </c>
      <c r="E47" s="22" t="s">
        <v>306</v>
      </c>
      <c r="F47" s="22" t="s">
        <v>312</v>
      </c>
      <c r="G47" s="22" t="s">
        <v>313</v>
      </c>
      <c r="H47" s="22" t="s">
        <v>62</v>
      </c>
      <c r="I47" s="23"/>
      <c r="J47" s="23"/>
      <c r="K47" s="23"/>
      <c r="L47" s="23"/>
      <c r="M47" s="23"/>
      <c r="N47" s="23"/>
      <c r="O47" s="23"/>
      <c r="P47" s="22" t="s">
        <v>309</v>
      </c>
    </row>
    <row r="48" customFormat="false" ht="15" hidden="false" customHeight="false" outlineLevel="0" collapsed="false">
      <c r="A48" s="21" t="s">
        <v>314</v>
      </c>
      <c r="B48" s="22" t="s">
        <v>303</v>
      </c>
      <c r="C48" s="22" t="s">
        <v>315</v>
      </c>
      <c r="D48" s="22" t="s">
        <v>316</v>
      </c>
      <c r="E48" s="22" t="s">
        <v>317</v>
      </c>
      <c r="F48" s="22" t="s">
        <v>318</v>
      </c>
      <c r="G48" s="22" t="s">
        <v>319</v>
      </c>
      <c r="H48" s="22" t="s">
        <v>62</v>
      </c>
      <c r="I48" s="23"/>
      <c r="J48" s="23"/>
      <c r="K48" s="23"/>
      <c r="L48" s="23"/>
      <c r="M48" s="23"/>
      <c r="N48" s="23"/>
      <c r="O48" s="23"/>
      <c r="P48" s="22" t="s">
        <v>320</v>
      </c>
    </row>
    <row r="49" customFormat="false" ht="15" hidden="false" customHeight="false" outlineLevel="0" collapsed="false">
      <c r="A49" s="21" t="s">
        <v>321</v>
      </c>
      <c r="B49" s="22" t="s">
        <v>303</v>
      </c>
      <c r="C49" s="22" t="s">
        <v>315</v>
      </c>
      <c r="D49" s="22" t="s">
        <v>322</v>
      </c>
      <c r="E49" s="22" t="s">
        <v>317</v>
      </c>
      <c r="F49" s="22" t="s">
        <v>323</v>
      </c>
      <c r="G49" s="22" t="s">
        <v>324</v>
      </c>
      <c r="H49" s="22" t="s">
        <v>74</v>
      </c>
      <c r="I49" s="23"/>
      <c r="J49" s="23"/>
      <c r="K49" s="23"/>
      <c r="L49" s="23"/>
      <c r="M49" s="23"/>
      <c r="N49" s="23"/>
      <c r="O49" s="23"/>
      <c r="P49" s="22" t="s">
        <v>320</v>
      </c>
    </row>
    <row r="50" customFormat="false" ht="15" hidden="false" customHeight="false" outlineLevel="0" collapsed="false">
      <c r="A50" s="21" t="s">
        <v>325</v>
      </c>
      <c r="B50" s="22" t="s">
        <v>303</v>
      </c>
      <c r="C50" s="22" t="s">
        <v>315</v>
      </c>
      <c r="D50" s="22" t="s">
        <v>326</v>
      </c>
      <c r="E50" s="22" t="s">
        <v>327</v>
      </c>
      <c r="F50" s="22" t="s">
        <v>328</v>
      </c>
      <c r="G50" s="22" t="s">
        <v>329</v>
      </c>
      <c r="H50" s="22" t="s">
        <v>74</v>
      </c>
      <c r="I50" s="23"/>
      <c r="J50" s="23"/>
      <c r="K50" s="23"/>
      <c r="L50" s="23"/>
      <c r="M50" s="23"/>
      <c r="N50" s="23"/>
      <c r="O50" s="23"/>
      <c r="P50" s="22" t="s">
        <v>320</v>
      </c>
    </row>
    <row r="51" customFormat="false" ht="15" hidden="false" customHeight="false" outlineLevel="0" collapsed="false">
      <c r="A51" s="21" t="s">
        <v>330</v>
      </c>
      <c r="B51" s="22" t="s">
        <v>303</v>
      </c>
      <c r="C51" s="22" t="s">
        <v>202</v>
      </c>
      <c r="D51" s="22" t="s">
        <v>331</v>
      </c>
      <c r="E51" s="22" t="s">
        <v>332</v>
      </c>
      <c r="F51" s="22" t="s">
        <v>333</v>
      </c>
      <c r="G51" s="22" t="s">
        <v>334</v>
      </c>
      <c r="H51" s="22" t="s">
        <v>74</v>
      </c>
      <c r="I51" s="23"/>
      <c r="J51" s="23"/>
      <c r="K51" s="23"/>
      <c r="L51" s="23"/>
      <c r="M51" s="23"/>
      <c r="N51" s="23"/>
      <c r="O51" s="23"/>
      <c r="P51" s="22" t="s">
        <v>68</v>
      </c>
    </row>
    <row r="52" customFormat="false" ht="22.35" hidden="false" customHeight="false" outlineLevel="0" collapsed="false">
      <c r="A52" s="18" t="s">
        <v>335</v>
      </c>
      <c r="B52" s="19" t="s">
        <v>336</v>
      </c>
      <c r="C52" s="19" t="s">
        <v>337</v>
      </c>
      <c r="D52" s="19" t="s">
        <v>338</v>
      </c>
      <c r="E52" s="19" t="s">
        <v>339</v>
      </c>
      <c r="F52" s="19" t="s">
        <v>340</v>
      </c>
      <c r="G52" s="19" t="s">
        <v>341</v>
      </c>
      <c r="H52" s="19" t="s">
        <v>62</v>
      </c>
      <c r="I52" s="20"/>
      <c r="J52" s="20"/>
      <c r="K52" s="20"/>
      <c r="L52" s="20"/>
      <c r="M52" s="20"/>
      <c r="N52" s="20"/>
      <c r="O52" s="20"/>
      <c r="P52" s="19" t="s">
        <v>342</v>
      </c>
    </row>
    <row r="53" customFormat="false" ht="22.35" hidden="false" customHeight="false" outlineLevel="0" collapsed="false">
      <c r="A53" s="21" t="s">
        <v>343</v>
      </c>
      <c r="B53" s="22" t="s">
        <v>336</v>
      </c>
      <c r="C53" s="22" t="s">
        <v>337</v>
      </c>
      <c r="D53" s="22" t="s">
        <v>344</v>
      </c>
      <c r="E53" s="22" t="s">
        <v>345</v>
      </c>
      <c r="F53" s="22" t="s">
        <v>346</v>
      </c>
      <c r="G53" s="22" t="s">
        <v>347</v>
      </c>
      <c r="H53" s="22" t="s">
        <v>62</v>
      </c>
      <c r="I53" s="23"/>
      <c r="J53" s="23"/>
      <c r="K53" s="23"/>
      <c r="L53" s="23"/>
      <c r="M53" s="23"/>
      <c r="N53" s="23"/>
      <c r="O53" s="23"/>
      <c r="P53" s="22" t="s">
        <v>342</v>
      </c>
    </row>
    <row r="54" customFormat="false" ht="22.35" hidden="false" customHeight="false" outlineLevel="0" collapsed="false">
      <c r="A54" s="21" t="s">
        <v>348</v>
      </c>
      <c r="B54" s="22" t="s">
        <v>336</v>
      </c>
      <c r="C54" s="22" t="s">
        <v>349</v>
      </c>
      <c r="D54" s="22" t="s">
        <v>350</v>
      </c>
      <c r="E54" s="22" t="s">
        <v>351</v>
      </c>
      <c r="F54" s="22" t="s">
        <v>352</v>
      </c>
      <c r="G54" s="22" t="s">
        <v>353</v>
      </c>
      <c r="H54" s="22" t="s">
        <v>62</v>
      </c>
      <c r="I54" s="23"/>
      <c r="J54" s="23"/>
      <c r="K54" s="23"/>
      <c r="L54" s="23"/>
      <c r="M54" s="23"/>
      <c r="N54" s="23"/>
      <c r="O54" s="23"/>
      <c r="P54" s="22" t="s">
        <v>354</v>
      </c>
    </row>
    <row r="55" customFormat="false" ht="22.35" hidden="false" customHeight="false" outlineLevel="0" collapsed="false">
      <c r="A55" s="21" t="s">
        <v>355</v>
      </c>
      <c r="B55" s="22" t="s">
        <v>336</v>
      </c>
      <c r="C55" s="22" t="s">
        <v>349</v>
      </c>
      <c r="D55" s="22" t="s">
        <v>356</v>
      </c>
      <c r="E55" s="22" t="s">
        <v>357</v>
      </c>
      <c r="F55" s="22" t="s">
        <v>358</v>
      </c>
      <c r="G55" s="22" t="s">
        <v>359</v>
      </c>
      <c r="H55" s="22" t="s">
        <v>62</v>
      </c>
      <c r="I55" s="23"/>
      <c r="J55" s="23"/>
      <c r="K55" s="23"/>
      <c r="L55" s="23"/>
      <c r="M55" s="23"/>
      <c r="N55" s="23"/>
      <c r="O55" s="23"/>
      <c r="P55" s="22" t="s">
        <v>354</v>
      </c>
    </row>
    <row r="56" customFormat="false" ht="22.35" hidden="false" customHeight="false" outlineLevel="0" collapsed="false">
      <c r="A56" s="21" t="s">
        <v>360</v>
      </c>
      <c r="B56" s="22" t="s">
        <v>336</v>
      </c>
      <c r="C56" s="22" t="s">
        <v>361</v>
      </c>
      <c r="D56" s="22" t="s">
        <v>362</v>
      </c>
      <c r="E56" s="22" t="s">
        <v>363</v>
      </c>
      <c r="F56" s="22" t="s">
        <v>364</v>
      </c>
      <c r="G56" s="22" t="s">
        <v>365</v>
      </c>
      <c r="H56" s="22" t="s">
        <v>74</v>
      </c>
      <c r="I56" s="23"/>
      <c r="J56" s="23"/>
      <c r="K56" s="23"/>
      <c r="L56" s="23"/>
      <c r="M56" s="23"/>
      <c r="N56" s="23"/>
      <c r="O56" s="23"/>
      <c r="P56" s="22" t="s">
        <v>366</v>
      </c>
    </row>
    <row r="57" customFormat="false" ht="22.35" hidden="false" customHeight="false" outlineLevel="0" collapsed="false">
      <c r="A57" s="21" t="s">
        <v>367</v>
      </c>
      <c r="B57" s="22" t="s">
        <v>336</v>
      </c>
      <c r="C57" s="22" t="s">
        <v>368</v>
      </c>
      <c r="D57" s="22" t="s">
        <v>369</v>
      </c>
      <c r="E57" s="22" t="s">
        <v>370</v>
      </c>
      <c r="F57" s="22" t="s">
        <v>371</v>
      </c>
      <c r="G57" s="22" t="s">
        <v>372</v>
      </c>
      <c r="H57" s="22" t="s">
        <v>74</v>
      </c>
      <c r="I57" s="23"/>
      <c r="J57" s="23"/>
      <c r="K57" s="23"/>
      <c r="L57" s="23"/>
      <c r="M57" s="23"/>
      <c r="N57" s="23"/>
      <c r="O57" s="23"/>
      <c r="P57" s="22" t="s">
        <v>373</v>
      </c>
    </row>
    <row r="58" customFormat="false" ht="22.35" hidden="false" customHeight="false" outlineLevel="0" collapsed="false">
      <c r="A58" s="21" t="s">
        <v>374</v>
      </c>
      <c r="B58" s="22" t="s">
        <v>336</v>
      </c>
      <c r="C58" s="22" t="s">
        <v>375</v>
      </c>
      <c r="D58" s="22" t="s">
        <v>376</v>
      </c>
      <c r="E58" s="22" t="s">
        <v>377</v>
      </c>
      <c r="F58" s="22" t="s">
        <v>378</v>
      </c>
      <c r="G58" s="22" t="s">
        <v>379</v>
      </c>
      <c r="H58" s="22" t="s">
        <v>74</v>
      </c>
      <c r="I58" s="23"/>
      <c r="J58" s="23"/>
      <c r="K58" s="23"/>
      <c r="L58" s="23"/>
      <c r="M58" s="23"/>
      <c r="N58" s="23"/>
      <c r="O58" s="23"/>
      <c r="P58" s="22" t="s">
        <v>380</v>
      </c>
    </row>
    <row r="59" customFormat="false" ht="15" hidden="false" customHeight="false" outlineLevel="0" collapsed="false">
      <c r="A59" s="18" t="s">
        <v>381</v>
      </c>
      <c r="B59" s="19" t="s">
        <v>382</v>
      </c>
      <c r="C59" s="19" t="s">
        <v>383</v>
      </c>
      <c r="D59" s="19" t="s">
        <v>384</v>
      </c>
      <c r="E59" s="19" t="s">
        <v>385</v>
      </c>
      <c r="F59" s="19" t="s">
        <v>386</v>
      </c>
      <c r="G59" s="19" t="s">
        <v>387</v>
      </c>
      <c r="H59" s="19" t="s">
        <v>62</v>
      </c>
      <c r="I59" s="20"/>
      <c r="J59" s="20"/>
      <c r="K59" s="20"/>
      <c r="L59" s="20"/>
      <c r="M59" s="20"/>
      <c r="N59" s="20"/>
      <c r="O59" s="20"/>
      <c r="P59" s="19" t="s">
        <v>380</v>
      </c>
    </row>
    <row r="60" customFormat="false" ht="15" hidden="false" customHeight="false" outlineLevel="0" collapsed="false">
      <c r="A60" s="21" t="s">
        <v>388</v>
      </c>
      <c r="B60" s="22" t="s">
        <v>382</v>
      </c>
      <c r="C60" s="22" t="s">
        <v>389</v>
      </c>
      <c r="D60" s="22" t="s">
        <v>390</v>
      </c>
      <c r="E60" s="22" t="s">
        <v>391</v>
      </c>
      <c r="F60" s="22" t="s">
        <v>392</v>
      </c>
      <c r="G60" s="22" t="s">
        <v>393</v>
      </c>
      <c r="H60" s="22" t="s">
        <v>62</v>
      </c>
      <c r="I60" s="23"/>
      <c r="J60" s="23"/>
      <c r="K60" s="23"/>
      <c r="L60" s="23"/>
      <c r="M60" s="23"/>
      <c r="N60" s="23"/>
      <c r="O60" s="23"/>
      <c r="P60" s="22" t="s">
        <v>380</v>
      </c>
    </row>
    <row r="61" customFormat="false" ht="15" hidden="false" customHeight="false" outlineLevel="0" collapsed="false">
      <c r="A61" s="21" t="s">
        <v>394</v>
      </c>
      <c r="B61" s="22" t="s">
        <v>382</v>
      </c>
      <c r="C61" s="22" t="s">
        <v>395</v>
      </c>
      <c r="D61" s="22" t="s">
        <v>396</v>
      </c>
      <c r="E61" s="22" t="s">
        <v>397</v>
      </c>
      <c r="F61" s="22" t="s">
        <v>398</v>
      </c>
      <c r="G61" s="22" t="s">
        <v>399</v>
      </c>
      <c r="H61" s="22" t="s">
        <v>62</v>
      </c>
      <c r="I61" s="23"/>
      <c r="J61" s="23"/>
      <c r="K61" s="23"/>
      <c r="L61" s="23"/>
      <c r="M61" s="23"/>
      <c r="N61" s="23"/>
      <c r="O61" s="23"/>
      <c r="P61" s="22" t="s">
        <v>380</v>
      </c>
    </row>
    <row r="62" customFormat="false" ht="15" hidden="false" customHeight="false" outlineLevel="0" collapsed="false">
      <c r="A62" s="21" t="s">
        <v>400</v>
      </c>
      <c r="B62" s="22" t="s">
        <v>382</v>
      </c>
      <c r="C62" s="22" t="s">
        <v>202</v>
      </c>
      <c r="D62" s="22" t="s">
        <v>401</v>
      </c>
      <c r="E62" s="22" t="s">
        <v>402</v>
      </c>
      <c r="F62" s="22" t="s">
        <v>403</v>
      </c>
      <c r="G62" s="22" t="s">
        <v>404</v>
      </c>
      <c r="H62" s="22" t="s">
        <v>62</v>
      </c>
      <c r="I62" s="23"/>
      <c r="J62" s="23"/>
      <c r="K62" s="23"/>
      <c r="L62" s="23"/>
      <c r="M62" s="23"/>
      <c r="N62" s="23"/>
      <c r="O62" s="23"/>
      <c r="P62" s="22" t="s">
        <v>68</v>
      </c>
    </row>
    <row r="63" customFormat="false" ht="22.35" hidden="false" customHeight="false" outlineLevel="0" collapsed="false">
      <c r="A63" s="21" t="s">
        <v>405</v>
      </c>
      <c r="B63" s="22" t="s">
        <v>382</v>
      </c>
      <c r="C63" s="22" t="s">
        <v>110</v>
      </c>
      <c r="D63" s="22" t="s">
        <v>406</v>
      </c>
      <c r="E63" s="22" t="s">
        <v>407</v>
      </c>
      <c r="F63" s="22" t="s">
        <v>408</v>
      </c>
      <c r="G63" s="22" t="s">
        <v>409</v>
      </c>
      <c r="H63" s="22" t="s">
        <v>62</v>
      </c>
      <c r="I63" s="23"/>
      <c r="J63" s="23"/>
      <c r="K63" s="23"/>
      <c r="L63" s="23"/>
      <c r="M63" s="23"/>
      <c r="N63" s="23"/>
      <c r="O63" s="23"/>
      <c r="P63" s="22" t="s">
        <v>68</v>
      </c>
    </row>
    <row r="64" customFormat="false" ht="22.35" hidden="false" customHeight="false" outlineLevel="0" collapsed="false">
      <c r="A64" s="21" t="s">
        <v>410</v>
      </c>
      <c r="B64" s="22" t="s">
        <v>382</v>
      </c>
      <c r="C64" s="22" t="s">
        <v>411</v>
      </c>
      <c r="D64" s="22" t="s">
        <v>412</v>
      </c>
      <c r="E64" s="22" t="s">
        <v>413</v>
      </c>
      <c r="F64" s="22" t="s">
        <v>414</v>
      </c>
      <c r="G64" s="22" t="s">
        <v>415</v>
      </c>
      <c r="H64" s="22" t="s">
        <v>74</v>
      </c>
      <c r="I64" s="23"/>
      <c r="J64" s="23"/>
      <c r="K64" s="23"/>
      <c r="L64" s="23"/>
      <c r="M64" s="23"/>
      <c r="N64" s="23"/>
      <c r="O64" s="23"/>
      <c r="P64" s="22" t="s">
        <v>68</v>
      </c>
    </row>
    <row r="65" customFormat="false" ht="22.35" hidden="false" customHeight="false" outlineLevel="0" collapsed="false">
      <c r="A65" s="21" t="s">
        <v>416</v>
      </c>
      <c r="B65" s="22" t="s">
        <v>382</v>
      </c>
      <c r="C65" s="22" t="s">
        <v>417</v>
      </c>
      <c r="D65" s="22" t="s">
        <v>418</v>
      </c>
      <c r="E65" s="22" t="s">
        <v>131</v>
      </c>
      <c r="F65" s="22" t="s">
        <v>419</v>
      </c>
      <c r="G65" s="22" t="s">
        <v>420</v>
      </c>
      <c r="H65" s="22" t="s">
        <v>62</v>
      </c>
      <c r="I65" s="23"/>
      <c r="J65" s="23"/>
      <c r="K65" s="23"/>
      <c r="L65" s="23"/>
      <c r="M65" s="23"/>
      <c r="N65" s="23"/>
      <c r="O65" s="23"/>
      <c r="P65" s="22" t="s">
        <v>421</v>
      </c>
    </row>
    <row r="66" customFormat="false" ht="15" hidden="false" customHeight="false" outlineLevel="0" collapsed="false">
      <c r="A66" s="18" t="s">
        <v>422</v>
      </c>
      <c r="B66" s="19" t="s">
        <v>423</v>
      </c>
      <c r="C66" s="19" t="s">
        <v>424</v>
      </c>
      <c r="D66" s="19" t="s">
        <v>425</v>
      </c>
      <c r="E66" s="19" t="s">
        <v>426</v>
      </c>
      <c r="F66" s="19" t="s">
        <v>427</v>
      </c>
      <c r="G66" s="19" t="s">
        <v>428</v>
      </c>
      <c r="H66" s="19" t="s">
        <v>62</v>
      </c>
      <c r="I66" s="20"/>
      <c r="J66" s="20"/>
      <c r="K66" s="20"/>
      <c r="L66" s="20"/>
      <c r="M66" s="20"/>
      <c r="N66" s="20"/>
      <c r="O66" s="20"/>
      <c r="P66" s="19" t="s">
        <v>429</v>
      </c>
    </row>
    <row r="67" customFormat="false" ht="15" hidden="false" customHeight="false" outlineLevel="0" collapsed="false">
      <c r="A67" s="21" t="s">
        <v>430</v>
      </c>
      <c r="B67" s="22" t="s">
        <v>423</v>
      </c>
      <c r="C67" s="22" t="s">
        <v>424</v>
      </c>
      <c r="D67" s="22" t="s">
        <v>431</v>
      </c>
      <c r="E67" s="22" t="s">
        <v>432</v>
      </c>
      <c r="F67" s="22" t="s">
        <v>433</v>
      </c>
      <c r="G67" s="22" t="s">
        <v>434</v>
      </c>
      <c r="H67" s="22" t="s">
        <v>62</v>
      </c>
      <c r="I67" s="23"/>
      <c r="J67" s="23"/>
      <c r="K67" s="23"/>
      <c r="L67" s="23"/>
      <c r="M67" s="23"/>
      <c r="N67" s="23"/>
      <c r="O67" s="23"/>
      <c r="P67" s="22" t="s">
        <v>429</v>
      </c>
    </row>
    <row r="68" customFormat="false" ht="15" hidden="false" customHeight="false" outlineLevel="0" collapsed="false">
      <c r="A68" s="21" t="s">
        <v>435</v>
      </c>
      <c r="B68" s="22" t="s">
        <v>423</v>
      </c>
      <c r="C68" s="22" t="s">
        <v>436</v>
      </c>
      <c r="D68" s="22" t="s">
        <v>437</v>
      </c>
      <c r="E68" s="22" t="s">
        <v>438</v>
      </c>
      <c r="F68" s="22" t="s">
        <v>436</v>
      </c>
      <c r="G68" s="22" t="s">
        <v>439</v>
      </c>
      <c r="H68" s="22" t="s">
        <v>62</v>
      </c>
      <c r="I68" s="23"/>
      <c r="J68" s="23"/>
      <c r="K68" s="23"/>
      <c r="L68" s="23"/>
      <c r="M68" s="23"/>
      <c r="N68" s="23"/>
      <c r="O68" s="23"/>
      <c r="P68" s="22" t="s">
        <v>68</v>
      </c>
    </row>
    <row r="69" customFormat="false" ht="15" hidden="false" customHeight="false" outlineLevel="0" collapsed="false">
      <c r="A69" s="21" t="s">
        <v>440</v>
      </c>
      <c r="B69" s="22" t="s">
        <v>423</v>
      </c>
      <c r="C69" s="22" t="s">
        <v>7</v>
      </c>
      <c r="D69" s="22" t="s">
        <v>441</v>
      </c>
      <c r="E69" s="22" t="s">
        <v>442</v>
      </c>
      <c r="F69" s="22" t="s">
        <v>443</v>
      </c>
      <c r="G69" s="22" t="s">
        <v>444</v>
      </c>
      <c r="H69" s="22" t="s">
        <v>74</v>
      </c>
      <c r="I69" s="23"/>
      <c r="J69" s="23"/>
      <c r="K69" s="23"/>
      <c r="L69" s="23"/>
      <c r="M69" s="23"/>
      <c r="N69" s="23"/>
      <c r="O69" s="23"/>
      <c r="P69" s="22" t="s">
        <v>7</v>
      </c>
    </row>
    <row r="70" customFormat="false" ht="15" hidden="false" customHeight="false" outlineLevel="0" collapsed="false">
      <c r="A70" s="21" t="s">
        <v>445</v>
      </c>
      <c r="B70" s="22" t="s">
        <v>423</v>
      </c>
      <c r="C70" s="22" t="s">
        <v>7</v>
      </c>
      <c r="D70" s="22" t="s">
        <v>446</v>
      </c>
      <c r="E70" s="22" t="s">
        <v>442</v>
      </c>
      <c r="F70" s="22" t="s">
        <v>447</v>
      </c>
      <c r="G70" s="22" t="s">
        <v>444</v>
      </c>
      <c r="H70" s="22" t="s">
        <v>74</v>
      </c>
      <c r="I70" s="23"/>
      <c r="J70" s="23"/>
      <c r="K70" s="23"/>
      <c r="L70" s="23"/>
      <c r="M70" s="23"/>
      <c r="N70" s="23"/>
      <c r="O70" s="23"/>
      <c r="P70" s="22" t="s">
        <v>7</v>
      </c>
    </row>
    <row r="71" customFormat="false" ht="22.35" hidden="false" customHeight="false" outlineLevel="0" collapsed="false">
      <c r="A71" s="18" t="s">
        <v>448</v>
      </c>
      <c r="B71" s="19" t="s">
        <v>449</v>
      </c>
      <c r="C71" s="19" t="s">
        <v>450</v>
      </c>
      <c r="D71" s="19" t="s">
        <v>451</v>
      </c>
      <c r="E71" s="19" t="s">
        <v>452</v>
      </c>
      <c r="F71" s="19" t="s">
        <v>453</v>
      </c>
      <c r="G71" s="19" t="s">
        <v>454</v>
      </c>
      <c r="H71" s="19" t="s">
        <v>62</v>
      </c>
      <c r="I71" s="20"/>
      <c r="J71" s="20"/>
      <c r="K71" s="20"/>
      <c r="L71" s="20"/>
      <c r="M71" s="20"/>
      <c r="N71" s="20"/>
      <c r="O71" s="20"/>
      <c r="P71" s="19" t="s">
        <v>455</v>
      </c>
    </row>
    <row r="72" customFormat="false" ht="22.35" hidden="false" customHeight="false" outlineLevel="0" collapsed="false">
      <c r="A72" s="21" t="s">
        <v>456</v>
      </c>
      <c r="B72" s="22" t="s">
        <v>449</v>
      </c>
      <c r="C72" s="22" t="s">
        <v>450</v>
      </c>
      <c r="D72" s="22" t="s">
        <v>457</v>
      </c>
      <c r="E72" s="22" t="s">
        <v>458</v>
      </c>
      <c r="F72" s="22" t="s">
        <v>459</v>
      </c>
      <c r="G72" s="22" t="s">
        <v>460</v>
      </c>
      <c r="H72" s="22" t="s">
        <v>62</v>
      </c>
      <c r="I72" s="23"/>
      <c r="J72" s="23"/>
      <c r="K72" s="23"/>
      <c r="L72" s="23"/>
      <c r="M72" s="23"/>
      <c r="N72" s="23"/>
      <c r="O72" s="23"/>
      <c r="P72" s="22" t="s">
        <v>162</v>
      </c>
    </row>
    <row r="73" customFormat="false" ht="22.35" hidden="false" customHeight="false" outlineLevel="0" collapsed="false">
      <c r="A73" s="21" t="s">
        <v>461</v>
      </c>
      <c r="B73" s="22" t="s">
        <v>449</v>
      </c>
      <c r="C73" s="22" t="s">
        <v>462</v>
      </c>
      <c r="D73" s="22" t="s">
        <v>463</v>
      </c>
      <c r="E73" s="22" t="s">
        <v>464</v>
      </c>
      <c r="F73" s="22" t="s">
        <v>465</v>
      </c>
      <c r="G73" s="22" t="s">
        <v>466</v>
      </c>
      <c r="H73" s="22" t="s">
        <v>62</v>
      </c>
      <c r="I73" s="23"/>
      <c r="J73" s="23"/>
      <c r="K73" s="23"/>
      <c r="L73" s="23"/>
      <c r="M73" s="23"/>
      <c r="N73" s="23"/>
      <c r="O73" s="23"/>
      <c r="P73" s="22" t="s">
        <v>467</v>
      </c>
    </row>
    <row r="74" customFormat="false" ht="15" hidden="false" customHeight="false" outlineLevel="0" collapsed="false">
      <c r="A74" s="21" t="s">
        <v>468</v>
      </c>
      <c r="B74" s="22" t="s">
        <v>449</v>
      </c>
      <c r="C74" s="22" t="s">
        <v>462</v>
      </c>
      <c r="D74" s="22" t="s">
        <v>469</v>
      </c>
      <c r="E74" s="22" t="s">
        <v>470</v>
      </c>
      <c r="F74" s="22" t="s">
        <v>471</v>
      </c>
      <c r="G74" s="22" t="s">
        <v>472</v>
      </c>
      <c r="H74" s="22" t="s">
        <v>74</v>
      </c>
      <c r="I74" s="23"/>
      <c r="J74" s="23"/>
      <c r="K74" s="23"/>
      <c r="L74" s="23"/>
      <c r="M74" s="23"/>
      <c r="N74" s="23"/>
      <c r="O74" s="23"/>
      <c r="P74" s="22" t="s">
        <v>467</v>
      </c>
    </row>
    <row r="75" customFormat="false" ht="15" hidden="false" customHeight="false" outlineLevel="0" collapsed="false">
      <c r="A75" s="21" t="s">
        <v>473</v>
      </c>
      <c r="B75" s="22" t="s">
        <v>449</v>
      </c>
      <c r="C75" s="22" t="s">
        <v>474</v>
      </c>
      <c r="D75" s="22" t="s">
        <v>475</v>
      </c>
      <c r="E75" s="22" t="s">
        <v>476</v>
      </c>
      <c r="F75" s="22" t="s">
        <v>477</v>
      </c>
      <c r="G75" s="22" t="s">
        <v>478</v>
      </c>
      <c r="H75" s="22" t="s">
        <v>74</v>
      </c>
      <c r="I75" s="23"/>
      <c r="J75" s="23"/>
      <c r="K75" s="23"/>
      <c r="L75" s="23"/>
      <c r="M75" s="23"/>
      <c r="N75" s="23"/>
      <c r="O75" s="23"/>
      <c r="P75" s="22" t="s">
        <v>479</v>
      </c>
    </row>
    <row r="76" customFormat="false" ht="15" hidden="false" customHeight="false" outlineLevel="0" collapsed="false">
      <c r="A76" s="21" t="s">
        <v>480</v>
      </c>
      <c r="B76" s="22" t="s">
        <v>449</v>
      </c>
      <c r="C76" s="22" t="s">
        <v>474</v>
      </c>
      <c r="D76" s="22" t="s">
        <v>481</v>
      </c>
      <c r="E76" s="22" t="s">
        <v>482</v>
      </c>
      <c r="F76" s="22" t="s">
        <v>483</v>
      </c>
      <c r="G76" s="22" t="s">
        <v>484</v>
      </c>
      <c r="H76" s="22" t="s">
        <v>74</v>
      </c>
      <c r="I76" s="23"/>
      <c r="J76" s="23"/>
      <c r="K76" s="23"/>
      <c r="L76" s="23"/>
      <c r="M76" s="23"/>
      <c r="N76" s="23"/>
      <c r="O76" s="23"/>
      <c r="P76" s="22" t="s">
        <v>479</v>
      </c>
    </row>
    <row r="77" customFormat="false" ht="22.35" hidden="false" customHeight="false" outlineLevel="0" collapsed="false">
      <c r="A77" s="18" t="s">
        <v>485</v>
      </c>
      <c r="B77" s="19" t="s">
        <v>486</v>
      </c>
      <c r="C77" s="19" t="s">
        <v>487</v>
      </c>
      <c r="D77" s="19" t="s">
        <v>488</v>
      </c>
      <c r="E77" s="19" t="s">
        <v>489</v>
      </c>
      <c r="F77" s="19" t="s">
        <v>490</v>
      </c>
      <c r="G77" s="19" t="s">
        <v>491</v>
      </c>
      <c r="H77" s="19" t="s">
        <v>62</v>
      </c>
      <c r="I77" s="20"/>
      <c r="J77" s="20"/>
      <c r="K77" s="20"/>
      <c r="L77" s="20"/>
      <c r="M77" s="20"/>
      <c r="N77" s="20"/>
      <c r="O77" s="20"/>
      <c r="P77" s="19" t="s">
        <v>68</v>
      </c>
    </row>
    <row r="78" customFormat="false" ht="22.35" hidden="false" customHeight="false" outlineLevel="0" collapsed="false">
      <c r="A78" s="21" t="s">
        <v>492</v>
      </c>
      <c r="B78" s="22" t="s">
        <v>486</v>
      </c>
      <c r="C78" s="22" t="s">
        <v>493</v>
      </c>
      <c r="D78" s="22" t="s">
        <v>494</v>
      </c>
      <c r="E78" s="22" t="s">
        <v>495</v>
      </c>
      <c r="F78" s="22" t="s">
        <v>496</v>
      </c>
      <c r="G78" s="22" t="s">
        <v>497</v>
      </c>
      <c r="H78" s="22" t="s">
        <v>74</v>
      </c>
      <c r="I78" s="23"/>
      <c r="J78" s="23"/>
      <c r="K78" s="23"/>
      <c r="L78" s="23"/>
      <c r="M78" s="23"/>
      <c r="N78" s="23"/>
      <c r="O78" s="23"/>
      <c r="P78" s="22" t="s">
        <v>68</v>
      </c>
    </row>
    <row r="79" customFormat="false" ht="15" hidden="false" customHeight="false" outlineLevel="0" collapsed="false">
      <c r="A79" s="21" t="s">
        <v>498</v>
      </c>
      <c r="B79" s="22" t="s">
        <v>486</v>
      </c>
      <c r="C79" s="22" t="s">
        <v>493</v>
      </c>
      <c r="D79" s="22" t="s">
        <v>499</v>
      </c>
      <c r="E79" s="22" t="s">
        <v>165</v>
      </c>
      <c r="F79" s="22" t="s">
        <v>500</v>
      </c>
      <c r="G79" s="22" t="s">
        <v>501</v>
      </c>
      <c r="H79" s="22" t="s">
        <v>62</v>
      </c>
      <c r="I79" s="23"/>
      <c r="J79" s="23"/>
      <c r="K79" s="23"/>
      <c r="L79" s="23"/>
      <c r="M79" s="23"/>
      <c r="N79" s="23"/>
      <c r="O79" s="23"/>
      <c r="P79" s="22" t="s">
        <v>68</v>
      </c>
    </row>
    <row r="80" customFormat="false" ht="15" hidden="false" customHeight="false" outlineLevel="0" collapsed="false">
      <c r="A80" s="21" t="s">
        <v>502</v>
      </c>
      <c r="B80" s="22" t="s">
        <v>486</v>
      </c>
      <c r="C80" s="22" t="s">
        <v>493</v>
      </c>
      <c r="D80" s="22" t="s">
        <v>503</v>
      </c>
      <c r="E80" s="22" t="s">
        <v>504</v>
      </c>
      <c r="F80" s="22" t="s">
        <v>505</v>
      </c>
      <c r="G80" s="22" t="s">
        <v>506</v>
      </c>
      <c r="H80" s="22" t="s">
        <v>74</v>
      </c>
      <c r="I80" s="23"/>
      <c r="J80" s="23"/>
      <c r="K80" s="23"/>
      <c r="L80" s="23"/>
      <c r="M80" s="23"/>
      <c r="N80" s="23"/>
      <c r="O80" s="23"/>
      <c r="P80" s="22" t="s">
        <v>68</v>
      </c>
    </row>
    <row r="81" customFormat="false" ht="15" hidden="false" customHeight="false" outlineLevel="0" collapsed="false">
      <c r="A81" s="21" t="s">
        <v>507</v>
      </c>
      <c r="B81" s="22" t="s">
        <v>486</v>
      </c>
      <c r="C81" s="22" t="s">
        <v>508</v>
      </c>
      <c r="D81" s="22" t="s">
        <v>509</v>
      </c>
      <c r="E81" s="22" t="s">
        <v>510</v>
      </c>
      <c r="F81" s="22" t="s">
        <v>511</v>
      </c>
      <c r="G81" s="22" t="s">
        <v>512</v>
      </c>
      <c r="H81" s="22" t="s">
        <v>74</v>
      </c>
      <c r="I81" s="23"/>
      <c r="J81" s="23"/>
      <c r="K81" s="23"/>
      <c r="L81" s="23"/>
      <c r="M81" s="23"/>
      <c r="N81" s="23"/>
      <c r="O81" s="23"/>
      <c r="P81" s="22" t="s">
        <v>68</v>
      </c>
    </row>
    <row r="82" customFormat="false" ht="15" hidden="false" customHeight="false" outlineLevel="0" collapsed="false">
      <c r="A82" s="21" t="s">
        <v>513</v>
      </c>
      <c r="B82" s="22" t="s">
        <v>486</v>
      </c>
      <c r="C82" s="22" t="s">
        <v>514</v>
      </c>
      <c r="D82" s="22" t="s">
        <v>515</v>
      </c>
      <c r="E82" s="22" t="s">
        <v>510</v>
      </c>
      <c r="F82" s="22" t="s">
        <v>516</v>
      </c>
      <c r="G82" s="22" t="s">
        <v>517</v>
      </c>
      <c r="H82" s="22" t="s">
        <v>62</v>
      </c>
      <c r="I82" s="23"/>
      <c r="J82" s="23"/>
      <c r="K82" s="23"/>
      <c r="L82" s="23"/>
      <c r="M82" s="23"/>
      <c r="N82" s="23"/>
      <c r="O82" s="23"/>
      <c r="P82" s="22" t="s">
        <v>68</v>
      </c>
    </row>
    <row r="83" customFormat="false" ht="15" hidden="false" customHeight="false" outlineLevel="0" collapsed="false">
      <c r="A83" s="18" t="s">
        <v>518</v>
      </c>
      <c r="B83" s="19" t="s">
        <v>519</v>
      </c>
      <c r="C83" s="19" t="s">
        <v>32</v>
      </c>
      <c r="D83" s="19" t="s">
        <v>520</v>
      </c>
      <c r="E83" s="19" t="s">
        <v>521</v>
      </c>
      <c r="F83" s="19" t="s">
        <v>522</v>
      </c>
      <c r="G83" s="19" t="s">
        <v>523</v>
      </c>
      <c r="H83" s="19" t="s">
        <v>62</v>
      </c>
      <c r="I83" s="20" t="s">
        <v>38</v>
      </c>
      <c r="J83" s="20"/>
      <c r="K83" s="20" t="s">
        <v>38</v>
      </c>
      <c r="L83" s="20"/>
      <c r="M83" s="20"/>
      <c r="N83" s="20"/>
      <c r="O83" s="20"/>
      <c r="P83" s="19" t="s">
        <v>32</v>
      </c>
    </row>
    <row r="84" customFormat="false" ht="15" hidden="false" customHeight="false" outlineLevel="0" collapsed="false">
      <c r="A84" s="21" t="s">
        <v>524</v>
      </c>
      <c r="B84" s="22" t="s">
        <v>519</v>
      </c>
      <c r="C84" s="22" t="s">
        <v>32</v>
      </c>
      <c r="D84" s="22" t="s">
        <v>525</v>
      </c>
      <c r="E84" s="22" t="s">
        <v>526</v>
      </c>
      <c r="F84" s="22" t="s">
        <v>527</v>
      </c>
      <c r="G84" s="22" t="s">
        <v>528</v>
      </c>
      <c r="H84" s="22" t="s">
        <v>62</v>
      </c>
      <c r="I84" s="23" t="s">
        <v>38</v>
      </c>
      <c r="J84" s="23"/>
      <c r="K84" s="23" t="s">
        <v>38</v>
      </c>
      <c r="L84" s="23"/>
      <c r="M84" s="23"/>
      <c r="N84" s="23"/>
      <c r="O84" s="23"/>
      <c r="P84" s="22" t="s">
        <v>32</v>
      </c>
    </row>
    <row r="85" customFormat="false" ht="15" hidden="false" customHeight="false" outlineLevel="0" collapsed="false">
      <c r="A85" s="21" t="s">
        <v>529</v>
      </c>
      <c r="B85" s="22" t="s">
        <v>519</v>
      </c>
      <c r="C85" s="22" t="s">
        <v>32</v>
      </c>
      <c r="D85" s="22" t="s">
        <v>530</v>
      </c>
      <c r="E85" s="22" t="s">
        <v>531</v>
      </c>
      <c r="F85" s="22" t="s">
        <v>532</v>
      </c>
      <c r="G85" s="22" t="s">
        <v>533</v>
      </c>
      <c r="H85" s="22" t="s">
        <v>74</v>
      </c>
      <c r="I85" s="23" t="s">
        <v>38</v>
      </c>
      <c r="J85" s="23"/>
      <c r="K85" s="23" t="s">
        <v>38</v>
      </c>
      <c r="L85" s="23"/>
      <c r="M85" s="23"/>
      <c r="N85" s="23"/>
      <c r="O85" s="23"/>
      <c r="P85" s="22" t="s">
        <v>32</v>
      </c>
    </row>
    <row r="86" customFormat="false" ht="15" hidden="false" customHeight="false" outlineLevel="0" collapsed="false">
      <c r="A86" s="21" t="s">
        <v>534</v>
      </c>
      <c r="B86" s="22" t="s">
        <v>519</v>
      </c>
      <c r="C86" s="22" t="s">
        <v>31</v>
      </c>
      <c r="D86" s="22" t="s">
        <v>535</v>
      </c>
      <c r="E86" s="22" t="s">
        <v>536</v>
      </c>
      <c r="F86" s="22" t="s">
        <v>537</v>
      </c>
      <c r="G86" s="22" t="s">
        <v>538</v>
      </c>
      <c r="H86" s="22" t="s">
        <v>62</v>
      </c>
      <c r="I86" s="23"/>
      <c r="J86" s="23" t="s">
        <v>38</v>
      </c>
      <c r="K86" s="23" t="s">
        <v>38</v>
      </c>
      <c r="L86" s="23"/>
      <c r="M86" s="23"/>
      <c r="N86" s="23"/>
      <c r="O86" s="23"/>
      <c r="P86" s="22" t="s">
        <v>31</v>
      </c>
    </row>
    <row r="87" customFormat="false" ht="15" hidden="false" customHeight="false" outlineLevel="0" collapsed="false">
      <c r="A87" s="21" t="s">
        <v>539</v>
      </c>
      <c r="B87" s="22" t="s">
        <v>519</v>
      </c>
      <c r="C87" s="22" t="s">
        <v>31</v>
      </c>
      <c r="D87" s="22" t="s">
        <v>540</v>
      </c>
      <c r="E87" s="22" t="s">
        <v>131</v>
      </c>
      <c r="F87" s="22" t="s">
        <v>541</v>
      </c>
      <c r="G87" s="22" t="s">
        <v>542</v>
      </c>
      <c r="H87" s="22" t="s">
        <v>62</v>
      </c>
      <c r="I87" s="23"/>
      <c r="J87" s="23" t="s">
        <v>38</v>
      </c>
      <c r="K87" s="23" t="s">
        <v>38</v>
      </c>
      <c r="L87" s="23"/>
      <c r="M87" s="23"/>
      <c r="N87" s="23"/>
      <c r="O87" s="23"/>
      <c r="P87" s="22" t="s">
        <v>31</v>
      </c>
    </row>
    <row r="88" customFormat="false" ht="15" hidden="false" customHeight="false" outlineLevel="0" collapsed="false">
      <c r="A88" s="21" t="s">
        <v>543</v>
      </c>
      <c r="B88" s="22" t="s">
        <v>519</v>
      </c>
      <c r="C88" s="22" t="s">
        <v>33</v>
      </c>
      <c r="D88" s="22" t="s">
        <v>544</v>
      </c>
      <c r="E88" s="22" t="s">
        <v>545</v>
      </c>
      <c r="F88" s="22" t="s">
        <v>177</v>
      </c>
      <c r="G88" s="22" t="s">
        <v>546</v>
      </c>
      <c r="H88" s="22" t="s">
        <v>62</v>
      </c>
      <c r="I88" s="23" t="s">
        <v>38</v>
      </c>
      <c r="J88" s="23" t="s">
        <v>38</v>
      </c>
      <c r="K88" s="23"/>
      <c r="L88" s="23"/>
      <c r="M88" s="23"/>
      <c r="N88" s="23"/>
      <c r="O88" s="23"/>
      <c r="P88" s="22" t="s">
        <v>33</v>
      </c>
    </row>
    <row r="89" customFormat="false" ht="15" hidden="false" customHeight="false" outlineLevel="0" collapsed="false">
      <c r="A89" s="21" t="s">
        <v>547</v>
      </c>
      <c r="B89" s="22" t="s">
        <v>519</v>
      </c>
      <c r="C89" s="22" t="s">
        <v>33</v>
      </c>
      <c r="D89" s="22" t="s">
        <v>548</v>
      </c>
      <c r="E89" s="22" t="s">
        <v>545</v>
      </c>
      <c r="F89" s="22" t="s">
        <v>210</v>
      </c>
      <c r="G89" s="22" t="s">
        <v>549</v>
      </c>
      <c r="H89" s="22" t="s">
        <v>62</v>
      </c>
      <c r="I89" s="23" t="s">
        <v>38</v>
      </c>
      <c r="J89" s="23" t="s">
        <v>38</v>
      </c>
      <c r="K89" s="23"/>
      <c r="L89" s="23"/>
      <c r="M89" s="23"/>
      <c r="N89" s="23"/>
      <c r="O89" s="23"/>
      <c r="P89" s="22" t="s">
        <v>33</v>
      </c>
    </row>
    <row r="90" customFormat="false" ht="15" hidden="false" customHeight="false" outlineLevel="0" collapsed="false">
      <c r="A90" s="21" t="s">
        <v>550</v>
      </c>
      <c r="B90" s="22" t="s">
        <v>519</v>
      </c>
      <c r="C90" s="22" t="s">
        <v>33</v>
      </c>
      <c r="D90" s="22" t="s">
        <v>551</v>
      </c>
      <c r="E90" s="22" t="s">
        <v>552</v>
      </c>
      <c r="F90" s="22" t="s">
        <v>553</v>
      </c>
      <c r="G90" s="22" t="s">
        <v>554</v>
      </c>
      <c r="H90" s="22" t="s">
        <v>62</v>
      </c>
      <c r="I90" s="23" t="s">
        <v>38</v>
      </c>
      <c r="J90" s="23" t="s">
        <v>38</v>
      </c>
      <c r="K90" s="23"/>
      <c r="L90" s="23"/>
      <c r="M90" s="23"/>
      <c r="N90" s="23"/>
      <c r="O90" s="23"/>
      <c r="P90" s="22" t="s">
        <v>33</v>
      </c>
    </row>
  </sheetData>
  <autoFilter ref="A1:P90"/>
  <conditionalFormatting sqref="I2:K90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  <cfRule type="cellIs" priority="5" operator="equal" aboveAverage="0" equalAverage="0" bottom="0" percent="0" rank="0" text="" dxfId="9">
      <formula>"N/A"</formula>
    </cfRule>
  </conditionalFormatting>
  <dataValidations count="3">
    <dataValidation allowBlank="true" errorStyle="stop" operator="between" showDropDown="false" showErrorMessage="false" showInputMessage="false" sqref="I2:K90" type="list">
      <formula1>"Not Run,Pass,Fail,Blocked,N/A"</formula1>
      <formula2>0</formula2>
    </dataValidation>
    <dataValidation allowBlank="true" errorStyle="stop" operator="between" showDropDown="false" showErrorMessage="false" showInputMessage="false" sqref="L2:N90" type="list">
      <formula1>"Yes,No,N/A"</formula1>
      <formula2>0</formula2>
    </dataValidation>
    <dataValidation allowBlank="true" errorStyle="stop" operator="between" showDropDown="false" showErrorMessage="false" showInputMessage="false" sqref="H2:H90" type="list">
      <formula1>"P1,P2,P3"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17" min="6" style="0" width="10"/>
    <col collapsed="false" customWidth="true" hidden="false" outlineLevel="0" max="18" min="18" style="0" width="30"/>
  </cols>
  <sheetData>
    <row r="1" customFormat="false" ht="31.5" hidden="false" customHeight="true" outlineLevel="0" collapsed="false">
      <c r="A1" s="17" t="s">
        <v>555</v>
      </c>
      <c r="B1" s="17" t="s">
        <v>556</v>
      </c>
      <c r="C1" s="17" t="s">
        <v>279</v>
      </c>
      <c r="D1" s="17" t="s">
        <v>557</v>
      </c>
      <c r="E1" s="17" t="s">
        <v>19</v>
      </c>
      <c r="F1" s="17" t="s">
        <v>558</v>
      </c>
      <c r="G1" s="17" t="s">
        <v>559</v>
      </c>
      <c r="H1" s="17" t="s">
        <v>560</v>
      </c>
      <c r="I1" s="17" t="s">
        <v>561</v>
      </c>
      <c r="J1" s="17" t="s">
        <v>562</v>
      </c>
      <c r="K1" s="17" t="s">
        <v>563</v>
      </c>
      <c r="L1" s="17" t="s">
        <v>564</v>
      </c>
      <c r="M1" s="17" t="s">
        <v>565</v>
      </c>
      <c r="N1" s="17" t="s">
        <v>566</v>
      </c>
      <c r="O1" s="17" t="s">
        <v>567</v>
      </c>
      <c r="P1" s="17" t="s">
        <v>568</v>
      </c>
      <c r="Q1" s="17" t="s">
        <v>569</v>
      </c>
      <c r="R1" s="17" t="s">
        <v>23</v>
      </c>
    </row>
    <row r="2" customFormat="false" ht="15" hidden="false" customHeight="false" outlineLevel="0" collapsed="false">
      <c r="A2" s="21" t="s">
        <v>570</v>
      </c>
      <c r="B2" s="22" t="s">
        <v>180</v>
      </c>
      <c r="C2" s="22" t="s">
        <v>571</v>
      </c>
      <c r="D2" s="22" t="s">
        <v>572</v>
      </c>
      <c r="E2" s="22" t="s">
        <v>62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customFormat="false" ht="15" hidden="false" customHeight="false" outlineLevel="0" collapsed="false">
      <c r="A3" s="21" t="s">
        <v>573</v>
      </c>
      <c r="B3" s="22" t="s">
        <v>180</v>
      </c>
      <c r="C3" s="22" t="s">
        <v>571</v>
      </c>
      <c r="D3" s="22" t="s">
        <v>574</v>
      </c>
      <c r="E3" s="22" t="s">
        <v>62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customFormat="false" ht="15" hidden="false" customHeight="false" outlineLevel="0" collapsed="false">
      <c r="A4" s="21" t="s">
        <v>575</v>
      </c>
      <c r="B4" s="22" t="s">
        <v>180</v>
      </c>
      <c r="C4" s="22" t="s">
        <v>576</v>
      </c>
      <c r="D4" s="22" t="s">
        <v>572</v>
      </c>
      <c r="E4" s="22" t="s">
        <v>62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customFormat="false" ht="15" hidden="false" customHeight="false" outlineLevel="0" collapsed="false">
      <c r="A5" s="21" t="s">
        <v>577</v>
      </c>
      <c r="B5" s="22" t="s">
        <v>180</v>
      </c>
      <c r="C5" s="22" t="s">
        <v>576</v>
      </c>
      <c r="D5" s="22" t="s">
        <v>574</v>
      </c>
      <c r="E5" s="22" t="s">
        <v>62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customFormat="false" ht="15" hidden="false" customHeight="false" outlineLevel="0" collapsed="false">
      <c r="A6" s="21" t="s">
        <v>578</v>
      </c>
      <c r="B6" s="22" t="s">
        <v>219</v>
      </c>
      <c r="C6" s="22" t="s">
        <v>571</v>
      </c>
      <c r="D6" s="22" t="s">
        <v>572</v>
      </c>
      <c r="E6" s="22" t="s">
        <v>62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customFormat="false" ht="15" hidden="false" customHeight="false" outlineLevel="0" collapsed="false">
      <c r="A7" s="21" t="s">
        <v>579</v>
      </c>
      <c r="B7" s="22" t="s">
        <v>219</v>
      </c>
      <c r="C7" s="22" t="s">
        <v>571</v>
      </c>
      <c r="D7" s="22" t="s">
        <v>574</v>
      </c>
      <c r="E7" s="22" t="s">
        <v>62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</row>
    <row r="8" customFormat="false" ht="15" hidden="false" customHeight="false" outlineLevel="0" collapsed="false">
      <c r="A8" s="21" t="s">
        <v>580</v>
      </c>
      <c r="B8" s="22" t="s">
        <v>219</v>
      </c>
      <c r="C8" s="22" t="s">
        <v>576</v>
      </c>
      <c r="D8" s="22" t="s">
        <v>572</v>
      </c>
      <c r="E8" s="22" t="s">
        <v>62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</row>
    <row r="9" customFormat="false" ht="15" hidden="false" customHeight="false" outlineLevel="0" collapsed="false">
      <c r="A9" s="21" t="s">
        <v>581</v>
      </c>
      <c r="B9" s="22" t="s">
        <v>219</v>
      </c>
      <c r="C9" s="22" t="s">
        <v>576</v>
      </c>
      <c r="D9" s="22" t="s">
        <v>574</v>
      </c>
      <c r="E9" s="22" t="s">
        <v>62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</row>
    <row r="10" customFormat="false" ht="15" hidden="false" customHeight="false" outlineLevel="0" collapsed="false">
      <c r="A10" s="21" t="s">
        <v>582</v>
      </c>
      <c r="B10" s="22" t="s">
        <v>583</v>
      </c>
      <c r="C10" s="22" t="s">
        <v>571</v>
      </c>
      <c r="D10" s="22" t="s">
        <v>572</v>
      </c>
      <c r="E10" s="22" t="s">
        <v>74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</row>
    <row r="11" customFormat="false" ht="15" hidden="false" customHeight="false" outlineLevel="0" collapsed="false">
      <c r="A11" s="21" t="s">
        <v>584</v>
      </c>
      <c r="B11" s="22" t="s">
        <v>583</v>
      </c>
      <c r="C11" s="22" t="s">
        <v>571</v>
      </c>
      <c r="D11" s="22" t="s">
        <v>574</v>
      </c>
      <c r="E11" s="22" t="s">
        <v>74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</row>
    <row r="12" customFormat="false" ht="15" hidden="false" customHeight="false" outlineLevel="0" collapsed="false">
      <c r="A12" s="21" t="s">
        <v>585</v>
      </c>
      <c r="B12" s="22" t="s">
        <v>583</v>
      </c>
      <c r="C12" s="22" t="s">
        <v>576</v>
      </c>
      <c r="D12" s="22" t="s">
        <v>572</v>
      </c>
      <c r="E12" s="22" t="s">
        <v>74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</row>
    <row r="13" customFormat="false" ht="15" hidden="false" customHeight="false" outlineLevel="0" collapsed="false">
      <c r="A13" s="21" t="s">
        <v>586</v>
      </c>
      <c r="B13" s="22" t="s">
        <v>583</v>
      </c>
      <c r="C13" s="22" t="s">
        <v>576</v>
      </c>
      <c r="D13" s="22" t="s">
        <v>574</v>
      </c>
      <c r="E13" s="22" t="s">
        <v>74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</row>
    <row r="14" customFormat="false" ht="15" hidden="false" customHeight="false" outlineLevel="0" collapsed="false">
      <c r="A14" s="21" t="s">
        <v>587</v>
      </c>
      <c r="B14" s="22" t="s">
        <v>588</v>
      </c>
      <c r="C14" s="22" t="s">
        <v>571</v>
      </c>
      <c r="D14" s="22" t="s">
        <v>572</v>
      </c>
      <c r="E14" s="22" t="s">
        <v>74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customFormat="false" ht="15" hidden="false" customHeight="false" outlineLevel="0" collapsed="false">
      <c r="A15" s="21" t="s">
        <v>589</v>
      </c>
      <c r="B15" s="22" t="s">
        <v>588</v>
      </c>
      <c r="C15" s="22" t="s">
        <v>571</v>
      </c>
      <c r="D15" s="22" t="s">
        <v>574</v>
      </c>
      <c r="E15" s="22" t="s">
        <v>74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customFormat="false" ht="15" hidden="false" customHeight="false" outlineLevel="0" collapsed="false">
      <c r="A16" s="21" t="s">
        <v>590</v>
      </c>
      <c r="B16" s="22" t="s">
        <v>588</v>
      </c>
      <c r="C16" s="22" t="s">
        <v>576</v>
      </c>
      <c r="D16" s="22" t="s">
        <v>572</v>
      </c>
      <c r="E16" s="22" t="s">
        <v>74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customFormat="false" ht="15" hidden="false" customHeight="false" outlineLevel="0" collapsed="false">
      <c r="A17" s="21" t="s">
        <v>591</v>
      </c>
      <c r="B17" s="22" t="s">
        <v>588</v>
      </c>
      <c r="C17" s="22" t="s">
        <v>576</v>
      </c>
      <c r="D17" s="22" t="s">
        <v>574</v>
      </c>
      <c r="E17" s="22" t="s">
        <v>74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customFormat="false" ht="15" hidden="false" customHeight="false" outlineLevel="0" collapsed="false">
      <c r="A18" s="21" t="s">
        <v>592</v>
      </c>
      <c r="B18" s="22" t="s">
        <v>593</v>
      </c>
      <c r="C18" s="22" t="s">
        <v>571</v>
      </c>
      <c r="D18" s="22" t="s">
        <v>572</v>
      </c>
      <c r="E18" s="22" t="s">
        <v>74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customFormat="false" ht="15" hidden="false" customHeight="false" outlineLevel="0" collapsed="false">
      <c r="A19" s="21" t="s">
        <v>594</v>
      </c>
      <c r="B19" s="22" t="s">
        <v>593</v>
      </c>
      <c r="C19" s="22" t="s">
        <v>571</v>
      </c>
      <c r="D19" s="22" t="s">
        <v>574</v>
      </c>
      <c r="E19" s="22" t="s">
        <v>74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customFormat="false" ht="15" hidden="false" customHeight="false" outlineLevel="0" collapsed="false">
      <c r="A20" s="21" t="s">
        <v>595</v>
      </c>
      <c r="B20" s="22" t="s">
        <v>593</v>
      </c>
      <c r="C20" s="22" t="s">
        <v>576</v>
      </c>
      <c r="D20" s="22" t="s">
        <v>572</v>
      </c>
      <c r="E20" s="22" t="s">
        <v>74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customFormat="false" ht="15" hidden="false" customHeight="false" outlineLevel="0" collapsed="false">
      <c r="A21" s="21" t="s">
        <v>596</v>
      </c>
      <c r="B21" s="22" t="s">
        <v>593</v>
      </c>
      <c r="C21" s="22" t="s">
        <v>576</v>
      </c>
      <c r="D21" s="22" t="s">
        <v>574</v>
      </c>
      <c r="E21" s="22" t="s">
        <v>74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3" customFormat="false" ht="15" hidden="false" customHeight="false" outlineLevel="0" collapsed="false">
      <c r="A23" s="15" t="s">
        <v>597</v>
      </c>
    </row>
  </sheetData>
  <autoFilter ref="A1:R21"/>
  <conditionalFormatting sqref="F2:Q21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  <cfRule type="cellIs" priority="5" operator="equal" aboveAverage="0" equalAverage="0" bottom="0" percent="0" rank="0" text="" dxfId="9">
      <formula>"N/A"</formula>
    </cfRule>
  </conditionalFormatting>
  <dataValidations count="1">
    <dataValidation allowBlank="true" errorStyle="stop" operator="between" showDropDown="false" showErrorMessage="false" showInputMessage="false" sqref="F2:Q21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0"/>
    <col collapsed="false" customWidth="true" hidden="false" outlineLevel="0" max="3" min="3" style="0" width="70"/>
  </cols>
  <sheetData>
    <row r="1" customFormat="false" ht="31.5" hidden="false" customHeight="true" outlineLevel="0" collapsed="false">
      <c r="A1" s="17" t="s">
        <v>598</v>
      </c>
      <c r="B1" s="17" t="s">
        <v>599</v>
      </c>
      <c r="C1" s="17" t="s">
        <v>600</v>
      </c>
    </row>
    <row r="2" customFormat="false" ht="22.35" hidden="false" customHeight="false" outlineLevel="0" collapsed="false">
      <c r="A2" s="21" t="s">
        <v>180</v>
      </c>
      <c r="B2" s="22" t="s">
        <v>601</v>
      </c>
      <c r="C2" s="22" t="s">
        <v>602</v>
      </c>
    </row>
    <row r="3" customFormat="false" ht="15" hidden="false" customHeight="false" outlineLevel="0" collapsed="false">
      <c r="A3" s="21" t="s">
        <v>261</v>
      </c>
      <c r="B3" s="22" t="s">
        <v>603</v>
      </c>
      <c r="C3" s="22" t="s">
        <v>604</v>
      </c>
    </row>
    <row r="4" customFormat="false" ht="15" hidden="false" customHeight="false" outlineLevel="0" collapsed="false">
      <c r="A4" s="21" t="s">
        <v>284</v>
      </c>
      <c r="B4" s="22" t="s">
        <v>605</v>
      </c>
      <c r="C4" s="22" t="s">
        <v>606</v>
      </c>
    </row>
    <row r="5" customFormat="false" ht="15" hidden="false" customHeight="false" outlineLevel="0" collapsed="false">
      <c r="A5" s="21" t="s">
        <v>296</v>
      </c>
      <c r="B5" s="22" t="s">
        <v>607</v>
      </c>
      <c r="C5" s="22" t="s">
        <v>608</v>
      </c>
    </row>
    <row r="6" customFormat="false" ht="15" hidden="false" customHeight="false" outlineLevel="0" collapsed="false">
      <c r="A6" s="21" t="s">
        <v>609</v>
      </c>
      <c r="B6" s="22" t="s">
        <v>610</v>
      </c>
      <c r="C6" s="22" t="s">
        <v>611</v>
      </c>
    </row>
    <row r="7" customFormat="false" ht="15" hidden="false" customHeight="false" outlineLevel="0" collapsed="false">
      <c r="A7" s="21" t="s">
        <v>612</v>
      </c>
      <c r="B7" s="22" t="s">
        <v>613</v>
      </c>
      <c r="C7" s="22" t="s">
        <v>614</v>
      </c>
    </row>
    <row r="8" customFormat="false" ht="15" hidden="false" customHeight="false" outlineLevel="0" collapsed="false">
      <c r="A8" s="21" t="s">
        <v>615</v>
      </c>
      <c r="B8" s="22" t="s">
        <v>616</v>
      </c>
      <c r="C8" s="22" t="s">
        <v>614</v>
      </c>
    </row>
    <row r="9" customFormat="false" ht="15" hidden="false" customHeight="false" outlineLevel="0" collapsed="false">
      <c r="A9" s="21" t="s">
        <v>617</v>
      </c>
      <c r="B9" s="22" t="s">
        <v>618</v>
      </c>
      <c r="C9" s="22" t="s">
        <v>614</v>
      </c>
    </row>
    <row r="10" customFormat="false" ht="15" hidden="false" customHeight="false" outlineLevel="0" collapsed="false">
      <c r="A10" s="21" t="s">
        <v>619</v>
      </c>
      <c r="B10" s="22" t="s">
        <v>620</v>
      </c>
      <c r="C10" s="22" t="s">
        <v>614</v>
      </c>
    </row>
    <row r="11" customFormat="false" ht="15" hidden="false" customHeight="false" outlineLevel="0" collapsed="false">
      <c r="A11" s="21" t="s">
        <v>219</v>
      </c>
      <c r="B11" s="22" t="s">
        <v>621</v>
      </c>
      <c r="C11" s="22" t="s">
        <v>622</v>
      </c>
    </row>
    <row r="12" customFormat="false" ht="15" hidden="false" customHeight="false" outlineLevel="0" collapsed="false">
      <c r="A12" s="21" t="s">
        <v>309</v>
      </c>
      <c r="B12" s="22" t="s">
        <v>623</v>
      </c>
      <c r="C12" s="22" t="s">
        <v>624</v>
      </c>
    </row>
    <row r="13" customFormat="false" ht="15" hidden="false" customHeight="false" outlineLevel="0" collapsed="false">
      <c r="A13" s="21" t="s">
        <v>320</v>
      </c>
      <c r="B13" s="22" t="s">
        <v>625</v>
      </c>
      <c r="C13" s="22" t="s">
        <v>626</v>
      </c>
    </row>
    <row r="14" customFormat="false" ht="15" hidden="false" customHeight="false" outlineLevel="0" collapsed="false">
      <c r="A14" s="21" t="s">
        <v>342</v>
      </c>
      <c r="B14" s="22" t="s">
        <v>627</v>
      </c>
      <c r="C14" s="22" t="s">
        <v>628</v>
      </c>
    </row>
    <row r="15" customFormat="false" ht="15" hidden="false" customHeight="false" outlineLevel="0" collapsed="false">
      <c r="A15" s="21" t="s">
        <v>354</v>
      </c>
      <c r="B15" s="22" t="s">
        <v>629</v>
      </c>
      <c r="C15" s="22" t="s">
        <v>628</v>
      </c>
    </row>
    <row r="16" customFormat="false" ht="15" hidden="false" customHeight="false" outlineLevel="0" collapsed="false">
      <c r="A16" s="21" t="s">
        <v>630</v>
      </c>
      <c r="B16" s="22" t="s">
        <v>631</v>
      </c>
      <c r="C16" s="22" t="s">
        <v>632</v>
      </c>
    </row>
    <row r="17" customFormat="false" ht="15" hidden="false" customHeight="false" outlineLevel="0" collapsed="false">
      <c r="A17" s="21" t="s">
        <v>455</v>
      </c>
      <c r="B17" s="22" t="s">
        <v>633</v>
      </c>
      <c r="C17" s="22" t="s">
        <v>634</v>
      </c>
    </row>
    <row r="18" customFormat="false" ht="15" hidden="false" customHeight="false" outlineLevel="0" collapsed="false">
      <c r="A18" s="21" t="s">
        <v>467</v>
      </c>
      <c r="B18" s="22" t="s">
        <v>635</v>
      </c>
      <c r="C18" s="22" t="s">
        <v>634</v>
      </c>
    </row>
    <row r="19" customFormat="false" ht="15" hidden="false" customHeight="false" outlineLevel="0" collapsed="false">
      <c r="A19" s="21" t="s">
        <v>479</v>
      </c>
      <c r="B19" s="22" t="s">
        <v>636</v>
      </c>
      <c r="C19" s="22" t="s">
        <v>637</v>
      </c>
    </row>
    <row r="20" customFormat="false" ht="15" hidden="false" customHeight="false" outlineLevel="0" collapsed="false">
      <c r="A20" s="21" t="s">
        <v>421</v>
      </c>
      <c r="B20" s="22" t="s">
        <v>416</v>
      </c>
      <c r="C20" s="22" t="s">
        <v>638</v>
      </c>
    </row>
    <row r="21" customFormat="false" ht="15" hidden="false" customHeight="false" outlineLevel="0" collapsed="false">
      <c r="A21" s="21" t="s">
        <v>429</v>
      </c>
      <c r="B21" s="22" t="s">
        <v>639</v>
      </c>
      <c r="C21" s="22" t="s">
        <v>640</v>
      </c>
    </row>
    <row r="22" customFormat="false" ht="15" hidden="false" customHeight="false" outlineLevel="0" collapsed="false">
      <c r="A22" s="21" t="s">
        <v>380</v>
      </c>
      <c r="B22" s="22" t="s">
        <v>641</v>
      </c>
      <c r="C22" s="22" t="s">
        <v>642</v>
      </c>
    </row>
    <row r="23" customFormat="false" ht="15" hidden="false" customHeight="false" outlineLevel="0" collapsed="false">
      <c r="A23" s="21" t="s">
        <v>366</v>
      </c>
      <c r="B23" s="22" t="s">
        <v>360</v>
      </c>
      <c r="C23" s="22" t="s">
        <v>638</v>
      </c>
    </row>
    <row r="24" customFormat="false" ht="15" hidden="false" customHeight="false" outlineLevel="0" collapsed="false">
      <c r="A24" s="21" t="s">
        <v>643</v>
      </c>
      <c r="B24" s="22" t="s">
        <v>367</v>
      </c>
      <c r="C24" s="22" t="s">
        <v>644</v>
      </c>
    </row>
    <row r="25" customFormat="false" ht="15" hidden="false" customHeight="false" outlineLevel="0" collapsed="false">
      <c r="A25" s="21" t="s">
        <v>7</v>
      </c>
      <c r="B25" s="22" t="s">
        <v>645</v>
      </c>
      <c r="C25" s="22" t="s">
        <v>646</v>
      </c>
    </row>
    <row r="26" customFormat="false" ht="15" hidden="false" customHeight="false" outlineLevel="0" collapsed="false">
      <c r="A26" s="21" t="s">
        <v>57</v>
      </c>
      <c r="B26" s="22" t="s">
        <v>647</v>
      </c>
      <c r="C26" s="22" t="s">
        <v>648</v>
      </c>
    </row>
    <row r="27" customFormat="false" ht="15" hidden="false" customHeight="false" outlineLevel="0" collapsed="false">
      <c r="A27" s="21" t="s">
        <v>81</v>
      </c>
      <c r="B27" s="22" t="s">
        <v>649</v>
      </c>
      <c r="C27" s="22" t="s">
        <v>650</v>
      </c>
    </row>
    <row r="28" customFormat="false" ht="15" hidden="false" customHeight="false" outlineLevel="0" collapsed="false">
      <c r="A28" s="21" t="s">
        <v>97</v>
      </c>
      <c r="B28" s="22" t="s">
        <v>651</v>
      </c>
      <c r="C28" s="22" t="s">
        <v>652</v>
      </c>
    </row>
    <row r="29" customFormat="false" ht="15" hidden="false" customHeight="false" outlineLevel="0" collapsed="false">
      <c r="A29" s="21" t="s">
        <v>162</v>
      </c>
      <c r="B29" s="22" t="s">
        <v>653</v>
      </c>
      <c r="C29" s="22" t="s">
        <v>654</v>
      </c>
    </row>
    <row r="30" customFormat="false" ht="15" hidden="false" customHeight="false" outlineLevel="0" collapsed="false">
      <c r="A30" s="21" t="s">
        <v>31</v>
      </c>
      <c r="B30" s="22" t="s">
        <v>655</v>
      </c>
      <c r="C30" s="22" t="s">
        <v>656</v>
      </c>
    </row>
    <row r="31" customFormat="false" ht="15" hidden="false" customHeight="false" outlineLevel="0" collapsed="false">
      <c r="A31" s="21" t="s">
        <v>32</v>
      </c>
      <c r="B31" s="22" t="s">
        <v>657</v>
      </c>
      <c r="C31" s="22" t="s">
        <v>656</v>
      </c>
    </row>
    <row r="32" customFormat="false" ht="15" hidden="false" customHeight="false" outlineLevel="0" collapsed="false">
      <c r="A32" s="21" t="s">
        <v>33</v>
      </c>
      <c r="B32" s="22" t="s">
        <v>658</v>
      </c>
      <c r="C32" s="22" t="s">
        <v>656</v>
      </c>
    </row>
    <row r="33" customFormat="false" ht="43.25" hidden="false" customHeight="false" outlineLevel="0" collapsed="false">
      <c r="A33" s="21" t="s">
        <v>659</v>
      </c>
      <c r="B33" s="22" t="s">
        <v>660</v>
      </c>
      <c r="C33" s="22" t="s">
        <v>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2026-09-21T10:02:13Z</dcterms:created>
  <dc:creator>openpyxl</dc:creator>
  <dc:description/>
  <dc:language>en-US</dc:language>
  <cp:lastModifiedBy/>
  <dcterms:modified xsi:type="dcterms:W3CDTF">2026-09-21T10:02:13Z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